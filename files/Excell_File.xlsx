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.Resultado" sheetId="1" r:id="rId4"/>
    <sheet state="visible" name="C. Resultado 2024" sheetId="2" r:id="rId5"/>
    <sheet state="visible" name="Explotacion comparativa " sheetId="3" r:id="rId6"/>
    <sheet state="visible" name="Graficos " sheetId="4" r:id="rId7"/>
    <sheet state="visible" name="Umbral de rentabilidad " sheetId="5" r:id="rId8"/>
    <sheet state="visible" name="Explotacion compartiva año ant" sheetId="6" r:id="rId9"/>
  </sheets>
  <definedNames/>
  <calcPr/>
</workbook>
</file>

<file path=xl/sharedStrings.xml><?xml version="1.0" encoding="utf-8"?>
<sst xmlns="http://schemas.openxmlformats.org/spreadsheetml/2006/main" count="288" uniqueCount="65">
  <si>
    <t>Cuenta de Pérdidas y Ganancias</t>
  </si>
  <si>
    <t>123 - REGION SUR ALIMENTOS SL (B53803557)</t>
  </si>
  <si>
    <t>Evolución mensual</t>
  </si>
  <si>
    <t>PERDIDAS Y GANANCIAS</t>
  </si>
  <si>
    <t>Ape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</si>
  <si>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</si>
  <si>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</si>
  <si>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</si>
  <si>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</si>
  <si>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</si>
  <si>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</si>
  <si>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</si>
  <si>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</si>
  <si>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</si>
  <si>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</si>
  <si>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</si>
  <si>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</si>
  <si>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</t>
  </si>
  <si>
    <t xml:space="preserve">      1. Importe neto de la cifra de negocios</t>
  </si>
  <si>
    <t xml:space="preserve">            7000 Ventas de mercaderías</t>
  </si>
  <si>
    <t xml:space="preserve">      4. Aprovisionamientos</t>
  </si>
  <si>
    <t xml:space="preserve">            6000 Compras de mercaderías</t>
  </si>
  <si>
    <t xml:space="preserve">            6100 Variación de existencias de mercaderías</t>
  </si>
  <si>
    <t xml:space="preserve">      6. Gastos de personal</t>
  </si>
  <si>
    <t xml:space="preserve">            6400 Sueldos y salarios</t>
  </si>
  <si>
    <t xml:space="preserve">            6420 Seguridad Social a cargo de la empresa</t>
  </si>
  <si>
    <t xml:space="preserve">            6490 Otros gastos sociales</t>
  </si>
  <si>
    <t xml:space="preserve">      7. Otros gastos de explotación</t>
  </si>
  <si>
    <t xml:space="preserve">            6210 Arrendamientos y cánones</t>
  </si>
  <si>
    <t xml:space="preserve">            6220 Reparaciones y conservación</t>
  </si>
  <si>
    <t xml:space="preserve">            6230 Servicios de profesionales indepen.</t>
  </si>
  <si>
    <t xml:space="preserve">            6240 Transportes</t>
  </si>
  <si>
    <t xml:space="preserve">            6250 Primas de seguros</t>
  </si>
  <si>
    <t xml:space="preserve">            6260 Servicios bancarios y similares</t>
  </si>
  <si>
    <t xml:space="preserve">            6270 Publicidad</t>
  </si>
  <si>
    <t xml:space="preserve">            6280 Suministros</t>
  </si>
  <si>
    <t xml:space="preserve">            6290 Otros servicios</t>
  </si>
  <si>
    <t xml:space="preserve">            6310 Otros tributos</t>
  </si>
  <si>
    <t xml:space="preserve">      8. Amortización del inmovilizado</t>
  </si>
  <si>
    <t xml:space="preserve">            6800 Amortización del inmovilizado intangible</t>
  </si>
  <si>
    <t xml:space="preserve">            6810 Amortización del inmovilizado material</t>
  </si>
  <si>
    <t xml:space="preserve">      12. Otros resultados</t>
  </si>
  <si>
    <t xml:space="preserve">            7780 Ingresos excepcionales</t>
  </si>
  <si>
    <t>A) RESULTADO DE EXPLOTACIÓN(1+2+3+4+5+6+7+8+9+10+11+12)</t>
  </si>
  <si>
    <t xml:space="preserve">      14. Gastos financieros</t>
  </si>
  <si>
    <t xml:space="preserve">            6620 Intereses de deudas, empresas grupo</t>
  </si>
  <si>
    <t xml:space="preserve">            6623 Intereses de deudas, entidades credito</t>
  </si>
  <si>
    <t>B) RESULTADO FINANCIERO (13+14+15+16+17+18)</t>
  </si>
  <si>
    <t>C) RESULTADO ANTES DE IMPUESTOS (A + B)</t>
  </si>
  <si>
    <t>D) RESULTADO DEL EJERCICIO (C+19)</t>
  </si>
  <si>
    <t xml:space="preserve">            6020 Compras de otros aprovisionamientos</t>
  </si>
  <si>
    <t xml:space="preserve">            6410 Indemnizaciones</t>
  </si>
  <si>
    <t xml:space="preserve">            6780 Gastos excepcionales</t>
  </si>
  <si>
    <t xml:space="preserve">      19. Impuestos sobre beneficios</t>
  </si>
  <si>
    <t xml:space="preserve">            6300 Impuesto corriente</t>
  </si>
  <si>
    <t>%</t>
  </si>
  <si>
    <t>A) RESULTADO DE EXPLOTACIÓN</t>
  </si>
  <si>
    <t xml:space="preserve">Umbral de rentabilidad </t>
  </si>
  <si>
    <t xml:space="preserve">Costes fijos </t>
  </si>
  <si>
    <t xml:space="preserve">Margen </t>
  </si>
  <si>
    <t xml:space="preserve">Ventas </t>
  </si>
  <si>
    <t xml:space="preserve">Total </t>
  </si>
  <si>
    <t xml:space="preserve">Media </t>
  </si>
  <si>
    <t xml:space="preserve">Ventas reales </t>
  </si>
  <si>
    <t xml:space="preserve">Diferencia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</si>
</sst>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8.0"/>
      <color rgb="FFFFFFFF"/>
      <name val="SansSerif"/>
    </font>
    <font/>
    <font>
      <sz val="9.0"/>
      <color rgb="FF000000"/>
      <name val="SansSerif"/>
    </font>
    <font>
      <sz val="10.0"/>
      <color rgb="FF000000"/>
      <name val="SansSerif"/>
    </font>
    <font>
      <b/>
      <sz val="8.0"/>
      <color rgb="FF000000"/>
      <name val="SansSerif"/>
    </font>
    <font>
      <sz val="10.0"/>
      <color rgb="FF666699"/>
      <name val="SansSerif"/>
    </font>
    <font>
      <sz val="8.0"/>
      <color rgb="FF000000"/>
      <name val="SansSerif"/>
    </font>
    <font>
      <sz val="8.0"/>
      <color rgb="FF666699"/>
      <name val="SansSerif"/>
    </font>
    <font>
      <b/>
      <sz val="11.0"/>
      <color rgb="FFFFFFFF"/>
      <name val="SansSerif"/>
    </font>
    <font>
      <b/>
      <sz val="8.0"/>
      <color rgb="FFFFFFFF"/>
      <name val="SansSerif"/>
    </font>
    <font>
      <b/>
      <sz val="10.0"/>
      <color rgb="FFFFFFFF"/>
      <name val="SansSerif"/>
    </font>
    <font>
      <sz val="8.0"/>
      <color rgb="FFFFFFFF"/>
      <name val="SansSerif"/>
    </font>
    <font>
      <b/>
      <sz val="8.0"/>
      <color rgb="FF666699"/>
      <name val="SansSerif"/>
    </font>
    <font>
      <b/>
      <sz val="8.0"/>
      <name val="SansSerif"/>
    </font>
    <font>
      <sz val="8.0"/>
      <name val="SansSerif"/>
    </font>
    <font>
      <b/>
      <sz val="9.0"/>
      <color rgb="FF000000"/>
      <name val="SansSerif"/>
    </font>
    <font>
      <b/>
      <sz val="10.0"/>
      <name val="Arial"/>
    </font>
    <font>
      <b/>
      <sz val="14.0"/>
      <color rgb="FF000000"/>
      <name val="Calibri"/>
    </font>
    <font>
      <sz val="10.0"/>
      <name val="Arial"/>
    </font>
    <font>
      <b/>
      <sz val="10.0"/>
      <color rgb="FF0000FF"/>
      <name val="Arial"/>
    </font>
    <font>
      <b/>
      <sz val="12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8080"/>
        <bgColor rgb="FF00808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3366FF"/>
        <bgColor rgb="FF3366FF"/>
      </patternFill>
    </fill>
    <fill>
      <patternFill patternType="solid">
        <fgColor rgb="FF33CCCC"/>
        <bgColor rgb="FF33CCCC"/>
      </patternFill>
    </fill>
    <fill>
      <patternFill patternType="solid">
        <fgColor rgb="FF0000FF"/>
        <bgColor rgb="FF0000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top style="medium">
        <color rgb="FF666699"/>
      </top>
      <bottom/>
    </border>
    <border>
      <top style="medium">
        <color rgb="FF666699"/>
      </top>
      <bottom/>
    </border>
    <border>
      <right/>
      <top style="medium">
        <color rgb="FF666699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top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right" shrinkToFit="0" vertical="bottom" wrapText="1"/>
    </xf>
    <xf borderId="4" fillId="4" fontId="6" numFmtId="0" xfId="0" applyAlignment="1" applyBorder="1" applyFill="1" applyFont="1">
      <alignment horizontal="left" shrinkToFit="0" vertical="top" wrapText="0"/>
    </xf>
    <xf borderId="5" fillId="0" fontId="2" numFmtId="0" xfId="0" applyBorder="1" applyFont="1"/>
    <xf borderId="6" fillId="0" fontId="2" numFmtId="0" xfId="0" applyBorder="1" applyFont="1"/>
    <xf borderId="0" fillId="0" fontId="7" numFmtId="0" xfId="0" applyAlignment="1" applyFont="1">
      <alignment horizontal="left" shrinkToFit="0" vertical="bottom" wrapText="1"/>
    </xf>
    <xf borderId="0" fillId="0" fontId="7" numFmtId="4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8" numFmtId="4" xfId="0" applyAlignment="1" applyFont="1" applyNumberFormat="1">
      <alignment horizontal="right" shrinkToFit="0" vertical="bottom" wrapText="1"/>
    </xf>
    <xf borderId="0" fillId="0" fontId="5" numFmtId="4" xfId="0" applyAlignment="1" applyFont="1" applyNumberFormat="1">
      <alignment horizontal="right" shrinkToFit="0" vertical="bottom" wrapText="1"/>
    </xf>
    <xf borderId="7" fillId="5" fontId="7" numFmtId="4" xfId="0" applyAlignment="1" applyBorder="1" applyFill="1" applyFont="1" applyNumberFormat="1">
      <alignment horizontal="right" shrinkToFit="0" vertical="bottom" wrapText="1"/>
    </xf>
    <xf borderId="7" fillId="6" fontId="7" numFmtId="4" xfId="0" applyAlignment="1" applyBorder="1" applyFill="1" applyFont="1" applyNumberFormat="1">
      <alignment horizontal="right" shrinkToFit="0" vertical="bottom" wrapText="1"/>
    </xf>
    <xf borderId="1" fillId="7" fontId="1" numFmtId="0" xfId="0" applyAlignment="1" applyBorder="1" applyFill="1" applyFont="1">
      <alignment horizontal="right" shrinkToFit="0" vertical="top" wrapText="1"/>
    </xf>
    <xf borderId="1" fillId="8" fontId="9" numFmtId="0" xfId="0" applyAlignment="1" applyBorder="1" applyFill="1" applyFont="1">
      <alignment horizontal="left" shrinkToFit="0" vertical="top" wrapText="1"/>
    </xf>
    <xf borderId="8" fillId="9" fontId="4" numFmtId="0" xfId="0" applyAlignment="1" applyBorder="1" applyFill="1" applyFont="1">
      <alignment horizontal="left" shrinkToFit="0" vertical="top" wrapText="1"/>
    </xf>
    <xf borderId="8" fillId="9" fontId="10" numFmtId="0" xfId="0" applyAlignment="1" applyBorder="1" applyFont="1">
      <alignment horizontal="left" shrinkToFit="0" vertical="bottom" wrapText="1"/>
    </xf>
    <xf borderId="8" fillId="9" fontId="9" numFmtId="0" xfId="0" applyAlignment="1" applyBorder="1" applyFont="1">
      <alignment horizontal="center" shrinkToFit="0" vertical="bottom" wrapText="1"/>
    </xf>
    <xf borderId="8" fillId="9" fontId="11" numFmtId="0" xfId="0" applyAlignment="1" applyBorder="1" applyFont="1">
      <alignment horizontal="center" shrinkToFit="0" vertical="bottom" wrapText="1"/>
    </xf>
    <xf borderId="9" fillId="9" fontId="9" numFmtId="0" xfId="0" applyAlignment="1" applyBorder="1" applyFont="1">
      <alignment horizontal="left" shrinkToFit="0" vertical="bottom" wrapText="1"/>
    </xf>
    <xf borderId="7" fillId="9" fontId="11" numFmtId="0" xfId="0" applyAlignment="1" applyBorder="1" applyFont="1">
      <alignment horizontal="center" shrinkToFit="0" vertical="bottom" wrapText="1"/>
    </xf>
    <xf borderId="7" fillId="9" fontId="9" numFmtId="0" xfId="0" applyAlignment="1" applyBorder="1" applyFont="1">
      <alignment horizontal="left" shrinkToFit="0" vertical="bottom" wrapText="1"/>
    </xf>
    <xf borderId="10" fillId="9" fontId="11" numFmtId="0" xfId="0" applyAlignment="1" applyBorder="1" applyFont="1">
      <alignment horizontal="center" shrinkToFit="0" vertical="bottom" wrapText="1"/>
    </xf>
    <xf borderId="8" fillId="9" fontId="9" numFmtId="0" xfId="0" applyAlignment="1" applyBorder="1" applyFont="1">
      <alignment horizontal="left" shrinkToFit="0" vertical="bottom" wrapText="1"/>
    </xf>
    <xf borderId="1" fillId="4" fontId="6" numFmtId="0" xfId="0" applyAlignment="1" applyBorder="1" applyFont="1">
      <alignment horizontal="left" shrinkToFit="0" vertical="top" wrapText="0"/>
    </xf>
    <xf borderId="0" fillId="0" fontId="7" numFmtId="4" xfId="0" applyAlignment="1" applyFont="1" applyNumberFormat="1">
      <alignment horizontal="left" shrinkToFit="0" vertical="bottom" wrapText="1"/>
    </xf>
    <xf borderId="11" fillId="7" fontId="10" numFmtId="4" xfId="0" applyAlignment="1" applyBorder="1" applyFont="1" applyNumberFormat="1">
      <alignment horizontal="right" shrinkToFit="0" vertical="bottom" wrapText="1"/>
    </xf>
    <xf borderId="12" fillId="7" fontId="10" numFmtId="4" xfId="0" applyAlignment="1" applyBorder="1" applyFont="1" applyNumberFormat="1">
      <alignment horizontal="right" shrinkToFit="0" vertical="bottom" wrapText="1"/>
    </xf>
    <xf borderId="7" fillId="7" fontId="10" numFmtId="4" xfId="0" applyAlignment="1" applyBorder="1" applyFont="1" applyNumberFormat="1">
      <alignment horizontal="right" shrinkToFit="0" vertical="bottom" wrapText="1"/>
    </xf>
    <xf borderId="7" fillId="7" fontId="12" numFmtId="4" xfId="0" applyAlignment="1" applyBorder="1" applyFont="1" applyNumberFormat="1">
      <alignment horizontal="right" shrinkToFit="0" vertical="bottom" wrapText="1"/>
    </xf>
    <xf borderId="7" fillId="10" fontId="4" numFmtId="0" xfId="0" applyAlignment="1" applyBorder="1" applyFill="1" applyFont="1">
      <alignment horizontal="left" shrinkToFit="0" vertical="top" wrapText="1"/>
    </xf>
    <xf borderId="7" fillId="10" fontId="13" numFmtId="0" xfId="0" applyAlignment="1" applyBorder="1" applyFont="1">
      <alignment horizontal="left" shrinkToFit="0" vertical="bottom" wrapText="1"/>
    </xf>
    <xf borderId="7" fillId="10" fontId="7" numFmtId="4" xfId="0" applyAlignment="1" applyBorder="1" applyFont="1" applyNumberFormat="1">
      <alignment horizontal="left" shrinkToFit="0" vertical="bottom" wrapText="1"/>
    </xf>
    <xf borderId="11" fillId="10" fontId="7" numFmtId="4" xfId="0" applyAlignment="1" applyBorder="1" applyFont="1" applyNumberFormat="1">
      <alignment horizontal="right" shrinkToFit="0" vertical="bottom" wrapText="1"/>
    </xf>
    <xf borderId="7" fillId="10" fontId="7" numFmtId="4" xfId="0" applyAlignment="1" applyBorder="1" applyFont="1" applyNumberFormat="1">
      <alignment horizontal="right" shrinkToFit="0" vertical="bottom" wrapText="1"/>
    </xf>
    <xf borderId="13" fillId="10" fontId="5" numFmtId="4" xfId="0" applyAlignment="1" applyBorder="1" applyFont="1" applyNumberFormat="1">
      <alignment horizontal="right" shrinkToFit="0" vertical="bottom" wrapText="1"/>
    </xf>
    <xf borderId="7" fillId="10" fontId="14" numFmtId="4" xfId="0" applyAlignment="1" applyBorder="1" applyFont="1" applyNumberFormat="1">
      <alignment horizontal="right" shrinkToFit="0" vertical="bottom" wrapText="1"/>
    </xf>
    <xf borderId="7" fillId="10" fontId="15" numFmtId="4" xfId="0" applyAlignment="1" applyBorder="1" applyFont="1" applyNumberFormat="1">
      <alignment horizontal="right" shrinkToFit="0" vertical="bottom" wrapText="1"/>
    </xf>
    <xf borderId="7" fillId="10" fontId="8" numFmtId="4" xfId="0" applyAlignment="1" applyBorder="1" applyFont="1" applyNumberFormat="1">
      <alignment horizontal="right" shrinkToFit="0" vertical="bottom" wrapText="1"/>
    </xf>
    <xf borderId="7" fillId="8" fontId="10" numFmtId="4" xfId="0" applyAlignment="1" applyBorder="1" applyFont="1" applyNumberFormat="1">
      <alignment horizontal="left" shrinkToFit="0" vertical="bottom" wrapText="1"/>
    </xf>
    <xf borderId="14" fillId="11" fontId="14" numFmtId="4" xfId="0" applyAlignment="1" applyBorder="1" applyFill="1" applyFont="1" applyNumberFormat="1">
      <alignment horizontal="right" shrinkToFit="0" vertical="bottom" wrapText="1"/>
    </xf>
    <xf borderId="13" fillId="11" fontId="5" numFmtId="4" xfId="0" applyAlignment="1" applyBorder="1" applyFont="1" applyNumberFormat="1">
      <alignment horizontal="right" shrinkToFit="0" vertical="bottom" wrapText="1"/>
    </xf>
    <xf borderId="7" fillId="11" fontId="14" numFmtId="4" xfId="0" applyAlignment="1" applyBorder="1" applyFont="1" applyNumberFormat="1">
      <alignment horizontal="right" shrinkToFit="0" vertical="bottom" wrapText="1"/>
    </xf>
    <xf borderId="7" fillId="11" fontId="5" numFmtId="4" xfId="0" applyAlignment="1" applyBorder="1" applyFont="1" applyNumberFormat="1">
      <alignment horizontal="right" shrinkToFit="0" vertical="bottom" wrapText="1"/>
    </xf>
    <xf borderId="0" fillId="0" fontId="13" numFmtId="0" xfId="0" applyAlignment="1" applyFont="1">
      <alignment horizontal="left" shrinkToFit="0" vertical="bottom" wrapText="1"/>
    </xf>
    <xf borderId="7" fillId="10" fontId="5" numFmtId="0" xfId="0" applyAlignment="1" applyBorder="1" applyFont="1">
      <alignment horizontal="left" shrinkToFit="0" vertical="bottom" wrapText="1"/>
    </xf>
    <xf borderId="7" fillId="10" fontId="5" numFmtId="4" xfId="0" applyAlignment="1" applyBorder="1" applyFont="1" applyNumberFormat="1">
      <alignment horizontal="left" shrinkToFit="0" vertical="bottom" wrapText="1"/>
    </xf>
    <xf borderId="14" fillId="11" fontId="15" numFmtId="4" xfId="0" applyAlignment="1" applyBorder="1" applyFont="1" applyNumberFormat="1">
      <alignment horizontal="right" shrinkToFit="0" vertical="bottom" wrapText="1"/>
    </xf>
    <xf borderId="7" fillId="10" fontId="5" numFmtId="4" xfId="0" applyAlignment="1" applyBorder="1" applyFont="1" applyNumberFormat="1">
      <alignment horizontal="right" shrinkToFit="0" vertical="bottom" wrapText="1"/>
    </xf>
    <xf borderId="7" fillId="8" fontId="12" numFmtId="4" xfId="0" applyAlignment="1" applyBorder="1" applyFont="1" applyNumberFormat="1">
      <alignment horizontal="left" shrinkToFit="0" vertical="bottom" wrapText="1"/>
    </xf>
    <xf borderId="7" fillId="11" fontId="7" numFmtId="4" xfId="0" applyAlignment="1" applyBorder="1" applyFont="1" applyNumberFormat="1">
      <alignment horizontal="right" shrinkToFit="0" vertical="bottom" wrapText="1"/>
    </xf>
    <xf borderId="7" fillId="10" fontId="15" numFmtId="4" xfId="0" applyAlignment="1" applyBorder="1" applyFont="1" applyNumberFormat="1">
      <alignment horizontal="left" shrinkToFit="0" vertical="bottom" wrapText="1"/>
    </xf>
    <xf borderId="7" fillId="10" fontId="7" numFmtId="0" xfId="0" applyAlignment="1" applyBorder="1" applyFont="1">
      <alignment horizontal="left" shrinkToFit="0" vertical="bottom" wrapText="1"/>
    </xf>
    <xf borderId="7" fillId="10" fontId="14" numFmtId="4" xfId="0" applyAlignment="1" applyBorder="1" applyFont="1" applyNumberFormat="1">
      <alignment horizontal="left" shrinkToFit="0" vertical="bottom" wrapText="1"/>
    </xf>
    <xf borderId="7" fillId="8" fontId="16" numFmtId="4" xfId="0" applyAlignment="1" applyBorder="1" applyFont="1" applyNumberFormat="1">
      <alignment horizontal="left" shrinkToFit="0" vertical="bottom" wrapText="1"/>
    </xf>
    <xf borderId="7" fillId="8" fontId="16" numFmtId="4" xfId="0" applyAlignment="1" applyBorder="1" applyFont="1" applyNumberFormat="1">
      <alignment horizontal="right" shrinkToFit="0" vertical="bottom" wrapText="1"/>
    </xf>
    <xf borderId="15" fillId="10" fontId="5" numFmtId="4" xfId="0" applyAlignment="1" applyBorder="1" applyFont="1" applyNumberFormat="1">
      <alignment horizontal="right" shrinkToFit="0" vertical="bottom" wrapText="1"/>
    </xf>
    <xf borderId="7" fillId="3" fontId="17" numFmtId="0" xfId="0" applyAlignment="1" applyBorder="1" applyFont="1">
      <alignment shrinkToFit="0" vertical="bottom" wrapText="0"/>
    </xf>
    <xf borderId="7" fillId="5" fontId="18" numFmtId="0" xfId="0" applyAlignment="1" applyBorder="1" applyFont="1">
      <alignment horizontal="right" shrinkToFit="0" vertical="bottom" wrapText="1"/>
    </xf>
    <xf borderId="7" fillId="11" fontId="19" numFmtId="4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7" fillId="3" fontId="19" numFmtId="4" xfId="0" applyAlignment="1" applyBorder="1" applyFont="1" applyNumberFormat="1">
      <alignment shrinkToFit="0" vertical="bottom" wrapText="0"/>
    </xf>
    <xf borderId="7" fillId="11" fontId="17" numFmtId="0" xfId="0" applyAlignment="1" applyBorder="1" applyFont="1">
      <alignment shrinkToFit="0" vertical="bottom" wrapText="0"/>
    </xf>
    <xf borderId="7" fillId="11" fontId="20" numFmtId="0" xfId="0" applyAlignment="1" applyBorder="1" applyFont="1">
      <alignment shrinkToFit="0" vertical="bottom" wrapText="0"/>
    </xf>
    <xf borderId="7" fillId="11" fontId="21" numFmtId="0" xfId="0" applyAlignment="1" applyBorder="1" applyFont="1">
      <alignment shrinkToFit="0" vertical="bottom" wrapText="0"/>
    </xf>
    <xf borderId="7" fillId="5" fontId="17" numFmtId="0" xfId="0" applyAlignment="1" applyBorder="1" applyFont="1">
      <alignment shrinkToFit="0" vertical="bottom" wrapText="0"/>
    </xf>
    <xf borderId="7" fillId="5" fontId="19" numFmtId="4" xfId="0" applyAlignment="1" applyBorder="1" applyFont="1" applyNumberFormat="1">
      <alignment shrinkToFit="0" vertical="bottom" wrapText="0"/>
    </xf>
    <xf borderId="7" fillId="5" fontId="17" numFmtId="4" xfId="0" applyAlignment="1" applyBorder="1" applyFont="1" applyNumberFormat="1">
      <alignment shrinkToFit="0" vertical="bottom" wrapText="0"/>
    </xf>
    <xf borderId="7" fillId="11" fontId="19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Ventas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val>
            <c:numRef>
              <c:f>'C. Resultado 2024'!$D$6:$O$6</c:f>
              <c:numCache/>
            </c:numRef>
          </c:val>
        </c:ser>
        <c:axId val="565481707"/>
        <c:axId val="985765058"/>
      </c:barChart>
      <c:catAx>
        <c:axId val="565481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765058"/>
      </c:catAx>
      <c:valAx>
        <c:axId val="985765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481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2</xdr:row>
      <xdr:rowOff>104775</xdr:rowOff>
    </xdr:from>
    <xdr:ext cx="7572375" cy="321945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7.43"/>
    <col customWidth="1" min="3" max="3" width="4.29"/>
    <col customWidth="1" min="4" max="8" width="10.29"/>
    <col customWidth="1" min="9" max="9" width="9.29"/>
    <col customWidth="1" min="10" max="10" width="11.43"/>
    <col customWidth="1" min="11" max="15" width="8.29"/>
    <col customWidth="1" min="16" max="16" width="11.71"/>
    <col customWidth="1" min="17" max="17" width="0.57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5.0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0.5" customHeight="1">
      <c r="A4" s="5"/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5"/>
    </row>
    <row r="5" ht="0.75" customHeight="1">
      <c r="A5" s="5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0"/>
    </row>
    <row r="6" ht="10.5" customHeight="1">
      <c r="A6" s="5"/>
      <c r="B6" s="11" t="s">
        <v>18</v>
      </c>
      <c r="C6" s="12">
        <v>0.0</v>
      </c>
      <c r="D6" s="12">
        <v>236147.59</v>
      </c>
      <c r="E6" s="12">
        <v>270871.73</v>
      </c>
      <c r="F6" s="12">
        <v>280949.94</v>
      </c>
      <c r="G6" s="12">
        <v>442246.51</v>
      </c>
      <c r="H6" s="12">
        <v>400365.89</v>
      </c>
      <c r="I6" s="12">
        <v>432347.77</v>
      </c>
      <c r="J6" s="12">
        <v>525719.39</v>
      </c>
      <c r="K6" s="12">
        <v>588138.01</v>
      </c>
      <c r="L6" s="12">
        <v>396636.72</v>
      </c>
      <c r="M6" s="12">
        <v>391241.81</v>
      </c>
      <c r="N6" s="12">
        <v>228955.78</v>
      </c>
      <c r="O6" s="12">
        <v>0.0</v>
      </c>
      <c r="P6" s="12">
        <v>4193621.14</v>
      </c>
      <c r="Q6" s="5"/>
    </row>
    <row r="7" ht="10.5" customHeight="1">
      <c r="A7" s="5"/>
      <c r="B7" s="13" t="s">
        <v>19</v>
      </c>
      <c r="C7" s="14">
        <v>0.0</v>
      </c>
      <c r="D7" s="14">
        <v>236147.59</v>
      </c>
      <c r="E7" s="14">
        <v>270871.73</v>
      </c>
      <c r="F7" s="14">
        <v>280949.94</v>
      </c>
      <c r="G7" s="14">
        <v>442246.51</v>
      </c>
      <c r="H7" s="14">
        <v>400365.89</v>
      </c>
      <c r="I7" s="14">
        <v>432347.77</v>
      </c>
      <c r="J7" s="14">
        <v>525719.39</v>
      </c>
      <c r="K7" s="14">
        <v>588138.01</v>
      </c>
      <c r="L7" s="14">
        <v>396636.72</v>
      </c>
      <c r="M7" s="14">
        <v>391241.81</v>
      </c>
      <c r="N7" s="14">
        <v>228955.78</v>
      </c>
      <c r="O7" s="14">
        <v>0.0</v>
      </c>
      <c r="P7" s="14">
        <v>4193621.14</v>
      </c>
      <c r="Q7" s="5"/>
    </row>
    <row r="8" ht="10.5" customHeight="1">
      <c r="A8" s="5"/>
      <c r="B8" s="11" t="s">
        <v>20</v>
      </c>
      <c r="C8" s="12">
        <v>0.0</v>
      </c>
      <c r="D8" s="12">
        <v>-193420.38</v>
      </c>
      <c r="E8" s="12">
        <v>-212742.59</v>
      </c>
      <c r="F8" s="12">
        <v>-219635.28</v>
      </c>
      <c r="G8" s="12">
        <v>-348220.6</v>
      </c>
      <c r="H8" s="12">
        <v>-300730.39</v>
      </c>
      <c r="I8" s="12">
        <v>-445152.42</v>
      </c>
      <c r="J8" s="12">
        <v>-426699.16</v>
      </c>
      <c r="K8" s="12">
        <v>-429557.48</v>
      </c>
      <c r="L8" s="12">
        <v>-303766.08</v>
      </c>
      <c r="M8" s="12">
        <v>-319107.25</v>
      </c>
      <c r="N8" s="12">
        <v>-139015.77</v>
      </c>
      <c r="O8" s="12">
        <v>0.0</v>
      </c>
      <c r="P8" s="12">
        <v>-3338047.4</v>
      </c>
      <c r="Q8" s="5"/>
    </row>
    <row r="9" ht="10.5" customHeight="1">
      <c r="A9" s="5"/>
      <c r="B9" s="13" t="s">
        <v>21</v>
      </c>
      <c r="C9" s="14">
        <v>0.0</v>
      </c>
      <c r="D9" s="14">
        <v>-193385.42</v>
      </c>
      <c r="E9" s="14">
        <v>-210450.67</v>
      </c>
      <c r="F9" s="14">
        <v>-219169.23</v>
      </c>
      <c r="G9" s="14">
        <v>-348029.61</v>
      </c>
      <c r="H9" s="14">
        <v>-300331.11</v>
      </c>
      <c r="I9" s="14">
        <v>-374511.52</v>
      </c>
      <c r="J9" s="14">
        <v>-425699.08</v>
      </c>
      <c r="K9" s="14">
        <v>-428847.94</v>
      </c>
      <c r="L9" s="14">
        <v>-303198.03</v>
      </c>
      <c r="M9" s="14">
        <v>-318184.84</v>
      </c>
      <c r="N9" s="14">
        <v>-138878.84</v>
      </c>
      <c r="O9" s="14">
        <v>0.0</v>
      </c>
      <c r="P9" s="14">
        <v>-3260686.29</v>
      </c>
      <c r="Q9" s="5"/>
    </row>
    <row r="10" ht="10.5" customHeight="1">
      <c r="A10" s="5"/>
      <c r="B10" s="13" t="s">
        <v>22</v>
      </c>
      <c r="C10" s="14">
        <v>0.0</v>
      </c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-70000.0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-70000.0</v>
      </c>
      <c r="Q10" s="5"/>
    </row>
    <row r="11" ht="10.5" customHeight="1">
      <c r="A11" s="5"/>
      <c r="B11" s="11" t="s">
        <v>23</v>
      </c>
      <c r="C11" s="12">
        <v>0.0</v>
      </c>
      <c r="D11" s="12">
        <v>-29587.5</v>
      </c>
      <c r="E11" s="12">
        <v>-31847.94</v>
      </c>
      <c r="F11" s="12">
        <v>-33079.9</v>
      </c>
      <c r="G11" s="12">
        <v>-32045.01</v>
      </c>
      <c r="H11" s="12">
        <v>-31441.29</v>
      </c>
      <c r="I11" s="12">
        <v>-31487.54</v>
      </c>
      <c r="J11" s="12">
        <v>-31621.21</v>
      </c>
      <c r="K11" s="12">
        <v>-32001.31</v>
      </c>
      <c r="L11" s="12">
        <v>-33132.09</v>
      </c>
      <c r="M11" s="12">
        <v>-33839.71</v>
      </c>
      <c r="N11" s="12">
        <v>0.0</v>
      </c>
      <c r="O11" s="12">
        <v>0.0</v>
      </c>
      <c r="P11" s="12">
        <v>-320083.5</v>
      </c>
      <c r="Q11" s="5"/>
    </row>
    <row r="12" ht="10.5" customHeight="1">
      <c r="A12" s="5"/>
      <c r="B12" s="13" t="s">
        <v>24</v>
      </c>
      <c r="C12" s="14">
        <v>0.0</v>
      </c>
      <c r="D12" s="14">
        <v>-23624.09</v>
      </c>
      <c r="E12" s="14">
        <v>-25565.89</v>
      </c>
      <c r="F12" s="14">
        <v>-25762.53</v>
      </c>
      <c r="G12" s="14">
        <v>-25200.97</v>
      </c>
      <c r="H12" s="14">
        <v>-24489.18</v>
      </c>
      <c r="I12" s="14">
        <v>-24871.92</v>
      </c>
      <c r="J12" s="14">
        <v>-25048.25</v>
      </c>
      <c r="K12" s="14">
        <v>-25159.77</v>
      </c>
      <c r="L12" s="14">
        <v>-25899.92</v>
      </c>
      <c r="M12" s="14">
        <v>-26493.23</v>
      </c>
      <c r="N12" s="14">
        <v>0.0</v>
      </c>
      <c r="O12" s="14">
        <v>0.0</v>
      </c>
      <c r="P12" s="14">
        <v>-252115.75</v>
      </c>
      <c r="Q12" s="5"/>
    </row>
    <row r="13" ht="10.5" customHeight="1">
      <c r="A13" s="5"/>
      <c r="B13" s="13" t="s">
        <v>25</v>
      </c>
      <c r="C13" s="14">
        <v>0.0</v>
      </c>
      <c r="D13" s="14">
        <v>-5963.41</v>
      </c>
      <c r="E13" s="14">
        <v>-6282.05</v>
      </c>
      <c r="F13" s="14">
        <v>-6867.37</v>
      </c>
      <c r="G13" s="14">
        <v>-6844.04</v>
      </c>
      <c r="H13" s="14">
        <v>-6952.11</v>
      </c>
      <c r="I13" s="14">
        <v>-6615.62</v>
      </c>
      <c r="J13" s="14">
        <v>-6382.96</v>
      </c>
      <c r="K13" s="14">
        <v>-6841.54</v>
      </c>
      <c r="L13" s="14">
        <v>-7232.17</v>
      </c>
      <c r="M13" s="14">
        <v>-7346.48</v>
      </c>
      <c r="N13" s="14">
        <v>0.0</v>
      </c>
      <c r="O13" s="14">
        <v>0.0</v>
      </c>
      <c r="P13" s="14">
        <v>-67327.75</v>
      </c>
      <c r="Q13" s="5"/>
    </row>
    <row r="14" ht="10.5" customHeight="1">
      <c r="A14" s="5"/>
      <c r="B14" s="13" t="s">
        <v>26</v>
      </c>
      <c r="C14" s="14">
        <v>0.0</v>
      </c>
      <c r="D14" s="14">
        <v>0.0</v>
      </c>
      <c r="E14" s="14">
        <v>0.0</v>
      </c>
      <c r="F14" s="14">
        <v>-450.0</v>
      </c>
      <c r="G14" s="14">
        <v>0.0</v>
      </c>
      <c r="H14" s="14">
        <v>0.0</v>
      </c>
      <c r="I14" s="14">
        <v>0.0</v>
      </c>
      <c r="J14" s="14">
        <v>-190.0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-640.0</v>
      </c>
      <c r="Q14" s="5"/>
    </row>
    <row r="15" ht="10.5" customHeight="1">
      <c r="A15" s="5"/>
      <c r="B15" s="11" t="s">
        <v>27</v>
      </c>
      <c r="C15" s="12">
        <v>0.0</v>
      </c>
      <c r="D15" s="12">
        <v>-15243.82</v>
      </c>
      <c r="E15" s="12">
        <v>-19150.98</v>
      </c>
      <c r="F15" s="12">
        <v>-27922.67</v>
      </c>
      <c r="G15" s="12">
        <v>-17873.58</v>
      </c>
      <c r="H15" s="12">
        <v>-19413.88</v>
      </c>
      <c r="I15" s="12">
        <v>-19663.22</v>
      </c>
      <c r="J15" s="12">
        <v>-22293.14</v>
      </c>
      <c r="K15" s="12">
        <v>-14135.82</v>
      </c>
      <c r="L15" s="12">
        <v>-16101.18</v>
      </c>
      <c r="M15" s="12">
        <v>-18410.93</v>
      </c>
      <c r="N15" s="12">
        <v>-6237.27</v>
      </c>
      <c r="O15" s="12">
        <v>-12.26</v>
      </c>
      <c r="P15" s="12">
        <v>-196458.75</v>
      </c>
      <c r="Q15" s="5"/>
    </row>
    <row r="16" ht="10.5" customHeight="1">
      <c r="A16" s="5"/>
      <c r="B16" s="13" t="s">
        <v>28</v>
      </c>
      <c r="C16" s="14">
        <v>0.0</v>
      </c>
      <c r="D16" s="14">
        <v>-3451.51</v>
      </c>
      <c r="E16" s="14">
        <v>-3591.55</v>
      </c>
      <c r="F16" s="14">
        <v>-12150.19</v>
      </c>
      <c r="G16" s="14">
        <v>-3699.45</v>
      </c>
      <c r="H16" s="14">
        <v>-3699.45</v>
      </c>
      <c r="I16" s="14">
        <v>-3745.22</v>
      </c>
      <c r="J16" s="14">
        <v>-5747.88</v>
      </c>
      <c r="K16" s="14">
        <v>-3699.45</v>
      </c>
      <c r="L16" s="14">
        <v>-3699.45</v>
      </c>
      <c r="M16" s="14">
        <v>-1077.1</v>
      </c>
      <c r="N16" s="14">
        <v>-882.59</v>
      </c>
      <c r="O16" s="14">
        <v>0.0</v>
      </c>
      <c r="P16" s="14">
        <v>-45443.84</v>
      </c>
      <c r="Q16" s="5"/>
    </row>
    <row r="17" ht="10.5" customHeight="1">
      <c r="A17" s="5"/>
      <c r="B17" s="13" t="s">
        <v>29</v>
      </c>
      <c r="C17" s="14">
        <v>0.0</v>
      </c>
      <c r="D17" s="14">
        <v>-2448.78</v>
      </c>
      <c r="E17" s="14">
        <v>-3903.12</v>
      </c>
      <c r="F17" s="14">
        <v>-3846.69</v>
      </c>
      <c r="G17" s="14">
        <v>-1408.02</v>
      </c>
      <c r="H17" s="14">
        <v>-2060.71</v>
      </c>
      <c r="I17" s="14">
        <v>-7472.57</v>
      </c>
      <c r="J17" s="14">
        <v>-2032.64</v>
      </c>
      <c r="K17" s="14">
        <v>-265.11</v>
      </c>
      <c r="L17" s="14">
        <v>-1534.12</v>
      </c>
      <c r="M17" s="14">
        <v>-781.05</v>
      </c>
      <c r="N17" s="14">
        <v>-2495.82</v>
      </c>
      <c r="O17" s="14">
        <v>0.0</v>
      </c>
      <c r="P17" s="14">
        <v>-28248.63</v>
      </c>
      <c r="Q17" s="5"/>
    </row>
    <row r="18" ht="10.5" customHeight="1">
      <c r="A18" s="5"/>
      <c r="B18" s="13" t="s">
        <v>30</v>
      </c>
      <c r="C18" s="14">
        <v>0.0</v>
      </c>
      <c r="D18" s="14">
        <v>-1090.0</v>
      </c>
      <c r="E18" s="14">
        <v>-1080.0</v>
      </c>
      <c r="F18" s="14">
        <v>-980.0</v>
      </c>
      <c r="G18" s="14">
        <v>-1200.0</v>
      </c>
      <c r="H18" s="14">
        <v>-1040.0</v>
      </c>
      <c r="I18" s="14">
        <v>-800.0</v>
      </c>
      <c r="J18" s="14">
        <v>-1040.0</v>
      </c>
      <c r="K18" s="14">
        <v>-1040.0</v>
      </c>
      <c r="L18" s="14">
        <v>-1040.0</v>
      </c>
      <c r="M18" s="14">
        <v>0.0</v>
      </c>
      <c r="N18" s="14">
        <v>0.0</v>
      </c>
      <c r="O18" s="14">
        <v>0.0</v>
      </c>
      <c r="P18" s="14">
        <v>-9310.0</v>
      </c>
      <c r="Q18" s="5"/>
    </row>
    <row r="19" ht="10.5" customHeight="1">
      <c r="A19" s="5"/>
      <c r="B19" s="13" t="s">
        <v>31</v>
      </c>
      <c r="C19" s="14">
        <v>0.0</v>
      </c>
      <c r="D19" s="14">
        <v>-24.58</v>
      </c>
      <c r="E19" s="14">
        <v>-1540.97</v>
      </c>
      <c r="F19" s="14">
        <v>-1307.56</v>
      </c>
      <c r="G19" s="14">
        <v>-1468.03</v>
      </c>
      <c r="H19" s="14">
        <v>-1324.42</v>
      </c>
      <c r="I19" s="14">
        <v>-1119.8</v>
      </c>
      <c r="J19" s="14">
        <v>-1211.25</v>
      </c>
      <c r="K19" s="14">
        <v>-1323.17</v>
      </c>
      <c r="L19" s="14">
        <v>-1259.87</v>
      </c>
      <c r="M19" s="14">
        <v>-1794.71</v>
      </c>
      <c r="N19" s="14">
        <v>0.0</v>
      </c>
      <c r="O19" s="14">
        <v>0.0</v>
      </c>
      <c r="P19" s="14">
        <v>-12374.36</v>
      </c>
      <c r="Q19" s="5"/>
    </row>
    <row r="20" ht="10.5" customHeight="1">
      <c r="A20" s="5"/>
      <c r="B20" s="13" t="s">
        <v>32</v>
      </c>
      <c r="C20" s="14">
        <v>0.0</v>
      </c>
      <c r="D20" s="14">
        <v>-1680.65</v>
      </c>
      <c r="E20" s="14">
        <v>-437.34</v>
      </c>
      <c r="F20" s="14">
        <v>-1615.03</v>
      </c>
      <c r="G20" s="14">
        <v>-2688.54</v>
      </c>
      <c r="H20" s="14">
        <v>-1476.1</v>
      </c>
      <c r="I20" s="14">
        <v>-54.02</v>
      </c>
      <c r="J20" s="14">
        <v>-1716.28</v>
      </c>
      <c r="K20" s="14">
        <v>1215.98</v>
      </c>
      <c r="L20" s="14">
        <v>-1370.17</v>
      </c>
      <c r="M20" s="14">
        <v>-3107.43</v>
      </c>
      <c r="N20" s="14">
        <v>-1453.04</v>
      </c>
      <c r="O20" s="14">
        <v>0.0</v>
      </c>
      <c r="P20" s="14">
        <v>-14382.62</v>
      </c>
      <c r="Q20" s="5"/>
    </row>
    <row r="21" ht="10.5" customHeight="1">
      <c r="A21" s="5"/>
      <c r="B21" s="13" t="s">
        <v>33</v>
      </c>
      <c r="C21" s="14">
        <v>0.0</v>
      </c>
      <c r="D21" s="14">
        <v>-285.86</v>
      </c>
      <c r="E21" s="14">
        <v>-546.32</v>
      </c>
      <c r="F21" s="14">
        <v>-679.1</v>
      </c>
      <c r="G21" s="14">
        <v>-482.19</v>
      </c>
      <c r="H21" s="14">
        <v>-256.07</v>
      </c>
      <c r="I21" s="14">
        <v>5189.88</v>
      </c>
      <c r="J21" s="14">
        <v>1294.39</v>
      </c>
      <c r="K21" s="14">
        <v>-198.32</v>
      </c>
      <c r="L21" s="14">
        <v>-273.38</v>
      </c>
      <c r="M21" s="14">
        <v>-458.87</v>
      </c>
      <c r="N21" s="14">
        <v>-144.15</v>
      </c>
      <c r="O21" s="14">
        <v>-12.26</v>
      </c>
      <c r="P21" s="14">
        <v>3147.75</v>
      </c>
      <c r="Q21" s="5"/>
    </row>
    <row r="22" ht="10.5" customHeight="1">
      <c r="A22" s="5"/>
      <c r="B22" s="13" t="s">
        <v>34</v>
      </c>
      <c r="C22" s="14">
        <v>0.0</v>
      </c>
      <c r="D22" s="14">
        <v>-195.0</v>
      </c>
      <c r="E22" s="14">
        <v>-195.0</v>
      </c>
      <c r="F22" s="14">
        <v>-195.0</v>
      </c>
      <c r="G22" s="14">
        <v>0.0</v>
      </c>
      <c r="H22" s="14">
        <v>-1139.0</v>
      </c>
      <c r="I22" s="14">
        <v>-2484.0</v>
      </c>
      <c r="J22" s="14">
        <v>-716.0</v>
      </c>
      <c r="K22" s="14">
        <v>0.0</v>
      </c>
      <c r="L22" s="14">
        <v>-150.0</v>
      </c>
      <c r="M22" s="14">
        <v>0.0</v>
      </c>
      <c r="N22" s="14">
        <v>-612.0</v>
      </c>
      <c r="O22" s="14">
        <v>0.0</v>
      </c>
      <c r="P22" s="14">
        <v>-5686.0</v>
      </c>
      <c r="Q22" s="5"/>
    </row>
    <row r="23" ht="10.5" customHeight="1">
      <c r="A23" s="5"/>
      <c r="B23" s="13" t="s">
        <v>35</v>
      </c>
      <c r="C23" s="14">
        <v>0.0</v>
      </c>
      <c r="D23" s="14">
        <v>-4023.35</v>
      </c>
      <c r="E23" s="14">
        <v>-5457.85</v>
      </c>
      <c r="F23" s="14">
        <v>-4794.15</v>
      </c>
      <c r="G23" s="14">
        <v>-4595.15</v>
      </c>
      <c r="H23" s="14">
        <v>-4066.06</v>
      </c>
      <c r="I23" s="14">
        <v>-4470.97</v>
      </c>
      <c r="J23" s="14">
        <v>-9278.14</v>
      </c>
      <c r="K23" s="14">
        <v>-7030.62</v>
      </c>
      <c r="L23" s="14">
        <v>-6087.51</v>
      </c>
      <c r="M23" s="14">
        <v>-5703.52</v>
      </c>
      <c r="N23" s="14">
        <v>-54.9</v>
      </c>
      <c r="O23" s="14">
        <v>0.0</v>
      </c>
      <c r="P23" s="14">
        <v>-55562.22</v>
      </c>
      <c r="Q23" s="5"/>
    </row>
    <row r="24" ht="10.5" customHeight="1">
      <c r="A24" s="5"/>
      <c r="B24" s="13" t="s">
        <v>36</v>
      </c>
      <c r="C24" s="14">
        <v>0.0</v>
      </c>
      <c r="D24" s="14">
        <v>-1624.55</v>
      </c>
      <c r="E24" s="14">
        <v>-1979.77</v>
      </c>
      <c r="F24" s="14">
        <v>-2354.95</v>
      </c>
      <c r="G24" s="14">
        <v>-2332.2</v>
      </c>
      <c r="H24" s="14">
        <v>-2079.46</v>
      </c>
      <c r="I24" s="14">
        <v>-4706.52</v>
      </c>
      <c r="J24" s="14">
        <v>-1845.34</v>
      </c>
      <c r="K24" s="14">
        <v>-1536.47</v>
      </c>
      <c r="L24" s="14">
        <v>-686.68</v>
      </c>
      <c r="M24" s="14">
        <v>-2059.88</v>
      </c>
      <c r="N24" s="14">
        <v>-594.77</v>
      </c>
      <c r="O24" s="14">
        <v>0.0</v>
      </c>
      <c r="P24" s="14">
        <v>-21800.59</v>
      </c>
      <c r="Q24" s="5"/>
    </row>
    <row r="25" ht="10.5" customHeight="1">
      <c r="A25" s="5"/>
      <c r="B25" s="13" t="s">
        <v>37</v>
      </c>
      <c r="C25" s="14">
        <v>0.0</v>
      </c>
      <c r="D25" s="14">
        <v>-419.54</v>
      </c>
      <c r="E25" s="14">
        <v>-419.06</v>
      </c>
      <c r="F25" s="14">
        <v>0.0</v>
      </c>
      <c r="G25" s="14">
        <v>0.0</v>
      </c>
      <c r="H25" s="14">
        <v>-2272.61</v>
      </c>
      <c r="I25" s="14">
        <v>0.0</v>
      </c>
      <c r="J25" s="14">
        <v>0.0</v>
      </c>
      <c r="K25" s="14">
        <v>-258.66</v>
      </c>
      <c r="L25" s="14">
        <v>0.0</v>
      </c>
      <c r="M25" s="14">
        <v>-3428.37</v>
      </c>
      <c r="N25" s="14">
        <v>0.0</v>
      </c>
      <c r="O25" s="14">
        <v>0.0</v>
      </c>
      <c r="P25" s="14">
        <v>-6798.24</v>
      </c>
      <c r="Q25" s="5"/>
    </row>
    <row r="26" ht="10.5" customHeight="1">
      <c r="A26" s="5"/>
      <c r="B26" s="11" t="s">
        <v>38</v>
      </c>
      <c r="C26" s="12">
        <v>0.0</v>
      </c>
      <c r="D26" s="12">
        <v>-2394.24</v>
      </c>
      <c r="E26" s="12">
        <v>-2162.56</v>
      </c>
      <c r="F26" s="12">
        <v>-2405.99</v>
      </c>
      <c r="G26" s="12">
        <v>-2332.99</v>
      </c>
      <c r="H26" s="12">
        <v>-2438.22</v>
      </c>
      <c r="I26" s="12">
        <v>-2388.43</v>
      </c>
      <c r="J26" s="12">
        <v>-2508.19</v>
      </c>
      <c r="K26" s="12">
        <v>-2508.16</v>
      </c>
      <c r="L26" s="12">
        <v>-2427.27</v>
      </c>
      <c r="M26" s="12">
        <v>-2508.2</v>
      </c>
      <c r="N26" s="12">
        <v>-2427.26</v>
      </c>
      <c r="O26" s="12">
        <v>-2508.16</v>
      </c>
      <c r="P26" s="12">
        <v>-29009.67</v>
      </c>
      <c r="Q26" s="5"/>
    </row>
    <row r="27" ht="10.5" customHeight="1">
      <c r="A27" s="5"/>
      <c r="B27" s="13" t="s">
        <v>39</v>
      </c>
      <c r="C27" s="14">
        <v>0.0</v>
      </c>
      <c r="D27" s="14">
        <v>-450.51</v>
      </c>
      <c r="E27" s="14">
        <v>-406.91</v>
      </c>
      <c r="F27" s="14">
        <v>-450.51</v>
      </c>
      <c r="G27" s="14">
        <v>-435.98</v>
      </c>
      <c r="H27" s="14">
        <v>-450.51</v>
      </c>
      <c r="I27" s="14">
        <v>-435.98</v>
      </c>
      <c r="J27" s="14">
        <v>-450.51</v>
      </c>
      <c r="K27" s="14">
        <v>-450.51</v>
      </c>
      <c r="L27" s="14">
        <v>-435.98</v>
      </c>
      <c r="M27" s="14">
        <v>-450.51</v>
      </c>
      <c r="N27" s="14">
        <v>-435.98</v>
      </c>
      <c r="O27" s="14">
        <v>-450.51</v>
      </c>
      <c r="P27" s="14">
        <v>-5304.4</v>
      </c>
      <c r="Q27" s="5"/>
    </row>
    <row r="28" ht="10.5" customHeight="1">
      <c r="A28" s="5"/>
      <c r="B28" s="13" t="s">
        <v>40</v>
      </c>
      <c r="C28" s="14">
        <v>0.0</v>
      </c>
      <c r="D28" s="14">
        <v>-1943.73</v>
      </c>
      <c r="E28" s="14">
        <v>-1755.65</v>
      </c>
      <c r="F28" s="14">
        <v>-1955.48</v>
      </c>
      <c r="G28" s="14">
        <v>-1897.01</v>
      </c>
      <c r="H28" s="14">
        <v>-1987.71</v>
      </c>
      <c r="I28" s="14">
        <v>-1952.45</v>
      </c>
      <c r="J28" s="14">
        <v>-2057.68</v>
      </c>
      <c r="K28" s="14">
        <v>-2057.65</v>
      </c>
      <c r="L28" s="14">
        <v>-1991.29</v>
      </c>
      <c r="M28" s="14">
        <v>-2057.69</v>
      </c>
      <c r="N28" s="14">
        <v>-1991.28</v>
      </c>
      <c r="O28" s="14">
        <v>-2057.65</v>
      </c>
      <c r="P28" s="14">
        <v>-23705.27</v>
      </c>
      <c r="Q28" s="5"/>
    </row>
    <row r="29" ht="10.5" customHeight="1">
      <c r="A29" s="5"/>
      <c r="B29" s="11" t="s">
        <v>41</v>
      </c>
      <c r="C29" s="12">
        <v>0.0</v>
      </c>
      <c r="D29" s="12">
        <v>0.56</v>
      </c>
      <c r="E29" s="12">
        <v>2327.0</v>
      </c>
      <c r="F29" s="12">
        <v>249.88</v>
      </c>
      <c r="G29" s="12">
        <v>24.36</v>
      </c>
      <c r="H29" s="12">
        <v>0.0</v>
      </c>
      <c r="I29" s="12">
        <v>8.8</v>
      </c>
      <c r="J29" s="12">
        <v>0.0</v>
      </c>
      <c r="K29" s="12">
        <v>0.0</v>
      </c>
      <c r="L29" s="12">
        <v>0.0</v>
      </c>
      <c r="M29" s="12">
        <v>0.0</v>
      </c>
      <c r="N29" s="12">
        <v>14.28</v>
      </c>
      <c r="O29" s="12">
        <v>0.0</v>
      </c>
      <c r="P29" s="12">
        <v>2624.88</v>
      </c>
      <c r="Q29" s="5"/>
    </row>
    <row r="30" ht="10.5" customHeight="1">
      <c r="A30" s="5"/>
      <c r="B30" s="13" t="s">
        <v>42</v>
      </c>
      <c r="C30" s="14">
        <v>0.0</v>
      </c>
      <c r="D30" s="14">
        <v>0.56</v>
      </c>
      <c r="E30" s="14">
        <v>2327.0</v>
      </c>
      <c r="F30" s="14">
        <v>249.88</v>
      </c>
      <c r="G30" s="14">
        <v>24.36</v>
      </c>
      <c r="H30" s="14">
        <v>0.0</v>
      </c>
      <c r="I30" s="14">
        <v>8.8</v>
      </c>
      <c r="J30" s="14">
        <v>0.0</v>
      </c>
      <c r="K30" s="14">
        <v>0.0</v>
      </c>
      <c r="L30" s="14">
        <v>0.0</v>
      </c>
      <c r="M30" s="14">
        <v>0.0</v>
      </c>
      <c r="N30" s="14">
        <v>14.28</v>
      </c>
      <c r="O30" s="14">
        <v>0.0</v>
      </c>
      <c r="P30" s="14">
        <v>2624.88</v>
      </c>
      <c r="Q30" s="5"/>
    </row>
    <row r="31" ht="10.5" customHeight="1">
      <c r="A31" s="5"/>
      <c r="B31" s="6" t="s">
        <v>43</v>
      </c>
      <c r="C31" s="15">
        <v>0.0</v>
      </c>
      <c r="D31" s="15">
        <v>-4497.79</v>
      </c>
      <c r="E31" s="15">
        <v>7294.66</v>
      </c>
      <c r="F31" s="15">
        <v>-1844.02</v>
      </c>
      <c r="G31" s="15">
        <v>41798.69</v>
      </c>
      <c r="H31" s="15">
        <v>46342.11</v>
      </c>
      <c r="I31" s="15">
        <v>-66335.04</v>
      </c>
      <c r="J31" s="15">
        <v>42597.69</v>
      </c>
      <c r="K31" s="15">
        <v>109935.24</v>
      </c>
      <c r="L31" s="15">
        <v>41210.1</v>
      </c>
      <c r="M31" s="15">
        <v>17375.72</v>
      </c>
      <c r="N31" s="15">
        <v>81289.76</v>
      </c>
      <c r="O31" s="15">
        <v>-2520.42</v>
      </c>
      <c r="P31" s="15">
        <v>312646.7</v>
      </c>
      <c r="Q31" s="5"/>
    </row>
    <row r="32" ht="10.5" customHeight="1">
      <c r="A32" s="5"/>
      <c r="B32" s="11" t="s">
        <v>44</v>
      </c>
      <c r="C32" s="12">
        <v>0.0</v>
      </c>
      <c r="D32" s="12">
        <v>-1688.26</v>
      </c>
      <c r="E32" s="12">
        <v>-1555.87</v>
      </c>
      <c r="F32" s="12">
        <v>-2281.25</v>
      </c>
      <c r="G32" s="12">
        <v>-1367.09</v>
      </c>
      <c r="H32" s="12">
        <v>-1053.89</v>
      </c>
      <c r="I32" s="12">
        <v>-1332.34</v>
      </c>
      <c r="J32" s="12">
        <v>-1262.74</v>
      </c>
      <c r="K32" s="12">
        <v>-1423.79</v>
      </c>
      <c r="L32" s="12">
        <v>-1072.63</v>
      </c>
      <c r="M32" s="12">
        <v>-1707.17</v>
      </c>
      <c r="N32" s="12">
        <v>17519.89</v>
      </c>
      <c r="O32" s="12">
        <v>0.0</v>
      </c>
      <c r="P32" s="12">
        <v>2774.86</v>
      </c>
      <c r="Q32" s="5"/>
    </row>
    <row r="33" ht="10.5" customHeight="1">
      <c r="A33" s="5"/>
      <c r="B33" s="13" t="s">
        <v>45</v>
      </c>
      <c r="C33" s="14">
        <v>0.0</v>
      </c>
      <c r="D33" s="14">
        <v>0.0</v>
      </c>
      <c r="E33" s="14">
        <v>-66.16</v>
      </c>
      <c r="F33" s="14">
        <v>-1922.39</v>
      </c>
      <c r="G33" s="14">
        <v>-1083.74</v>
      </c>
      <c r="H33" s="14">
        <v>-773.99</v>
      </c>
      <c r="I33" s="14">
        <v>-1045.46</v>
      </c>
      <c r="J33" s="14">
        <v>-909.47</v>
      </c>
      <c r="K33" s="14">
        <v>-1004.64</v>
      </c>
      <c r="L33" s="14">
        <v>-851.96</v>
      </c>
      <c r="M33" s="14">
        <v>-1220.75</v>
      </c>
      <c r="N33" s="14">
        <v>17837.86</v>
      </c>
      <c r="O33" s="14">
        <v>0.0</v>
      </c>
      <c r="P33" s="14">
        <v>8959.3</v>
      </c>
      <c r="Q33" s="5"/>
    </row>
    <row r="34" ht="10.5" customHeight="1">
      <c r="A34" s="5"/>
      <c r="B34" s="13" t="s">
        <v>46</v>
      </c>
      <c r="C34" s="14">
        <v>0.0</v>
      </c>
      <c r="D34" s="14">
        <v>-1688.26</v>
      </c>
      <c r="E34" s="14">
        <v>-1489.71</v>
      </c>
      <c r="F34" s="14">
        <v>-358.86</v>
      </c>
      <c r="G34" s="14">
        <v>-283.35</v>
      </c>
      <c r="H34" s="14">
        <v>-279.9</v>
      </c>
      <c r="I34" s="14">
        <v>-286.88</v>
      </c>
      <c r="J34" s="14">
        <v>-353.27</v>
      </c>
      <c r="K34" s="14">
        <v>-419.15</v>
      </c>
      <c r="L34" s="14">
        <v>-220.67</v>
      </c>
      <c r="M34" s="14">
        <v>-486.42</v>
      </c>
      <c r="N34" s="14">
        <v>-317.97</v>
      </c>
      <c r="O34" s="14">
        <v>0.0</v>
      </c>
      <c r="P34" s="14">
        <v>-6184.44</v>
      </c>
      <c r="Q34" s="5"/>
    </row>
    <row r="35" ht="10.5" customHeight="1">
      <c r="A35" s="5"/>
      <c r="B35" s="6" t="s">
        <v>47</v>
      </c>
      <c r="C35" s="15">
        <v>0.0</v>
      </c>
      <c r="D35" s="15">
        <v>-1688.26</v>
      </c>
      <c r="E35" s="15">
        <v>-1555.87</v>
      </c>
      <c r="F35" s="15">
        <v>-2281.25</v>
      </c>
      <c r="G35" s="15">
        <v>-1367.09</v>
      </c>
      <c r="H35" s="15">
        <v>-1053.89</v>
      </c>
      <c r="I35" s="15">
        <v>-1332.34</v>
      </c>
      <c r="J35" s="15">
        <v>-1262.74</v>
      </c>
      <c r="K35" s="15">
        <v>-1423.79</v>
      </c>
      <c r="L35" s="15">
        <v>-1072.63</v>
      </c>
      <c r="M35" s="15">
        <v>-1707.17</v>
      </c>
      <c r="N35" s="15">
        <v>17519.89</v>
      </c>
      <c r="O35" s="15">
        <v>0.0</v>
      </c>
      <c r="P35" s="15">
        <v>2774.86</v>
      </c>
      <c r="Q35" s="5"/>
    </row>
    <row r="36" ht="10.5" customHeight="1">
      <c r="A36" s="5"/>
      <c r="B36" s="6" t="s">
        <v>48</v>
      </c>
      <c r="C36" s="15">
        <v>0.0</v>
      </c>
      <c r="D36" s="15">
        <v>-6186.05</v>
      </c>
      <c r="E36" s="15">
        <v>5738.79</v>
      </c>
      <c r="F36" s="15">
        <v>-4125.27</v>
      </c>
      <c r="G36" s="15">
        <v>40431.6</v>
      </c>
      <c r="H36" s="15">
        <v>45288.22</v>
      </c>
      <c r="I36" s="15">
        <v>-67667.38</v>
      </c>
      <c r="J36" s="15">
        <v>41334.95</v>
      </c>
      <c r="K36" s="15">
        <v>108511.45</v>
      </c>
      <c r="L36" s="15">
        <v>40137.47</v>
      </c>
      <c r="M36" s="15">
        <v>15668.55</v>
      </c>
      <c r="N36" s="15">
        <v>98809.65</v>
      </c>
      <c r="O36" s="15">
        <v>-2520.42</v>
      </c>
      <c r="P36" s="15">
        <v>315421.56</v>
      </c>
      <c r="Q36" s="5"/>
    </row>
    <row r="37" ht="10.5" customHeight="1">
      <c r="A37" s="5"/>
      <c r="B37" s="6" t="s">
        <v>49</v>
      </c>
      <c r="C37" s="15">
        <v>0.0</v>
      </c>
      <c r="D37" s="15">
        <v>-6186.05</v>
      </c>
      <c r="E37" s="15">
        <v>5738.79</v>
      </c>
      <c r="F37" s="15">
        <v>-4125.27</v>
      </c>
      <c r="G37" s="15">
        <v>40431.6</v>
      </c>
      <c r="H37" s="15">
        <v>45288.22</v>
      </c>
      <c r="I37" s="15">
        <v>-67667.38</v>
      </c>
      <c r="J37" s="15">
        <v>41334.95</v>
      </c>
      <c r="K37" s="15">
        <v>108511.45</v>
      </c>
      <c r="L37" s="15">
        <v>40137.47</v>
      </c>
      <c r="M37" s="15">
        <v>15668.55</v>
      </c>
      <c r="N37" s="15">
        <v>98809.65</v>
      </c>
      <c r="O37" s="15">
        <v>-2520.42</v>
      </c>
      <c r="P37" s="15">
        <v>315421.56</v>
      </c>
      <c r="Q37" s="5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mergeCells count="4">
    <mergeCell ref="A1:Q1"/>
    <mergeCell ref="A2:Q2"/>
    <mergeCell ref="A3:Q3"/>
    <mergeCell ref="B5:Q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7.43"/>
    <col customWidth="1" min="3" max="3" width="4.29"/>
    <col customWidth="1" min="4" max="15" width="10.29"/>
    <col customWidth="1" min="16" max="16" width="11.71"/>
    <col customWidth="1" min="17" max="17" width="0.57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5.0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0.5" customHeight="1">
      <c r="A4" s="5"/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5"/>
    </row>
    <row r="5" ht="0.75" customHeight="1">
      <c r="A5" s="5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0"/>
    </row>
    <row r="6" ht="10.5" customHeight="1">
      <c r="A6" s="5"/>
      <c r="B6" s="11" t="s">
        <v>18</v>
      </c>
      <c r="C6" s="12">
        <v>0.0</v>
      </c>
      <c r="D6" s="16">
        <v>207249.37</v>
      </c>
      <c r="E6" s="16">
        <v>240707.93</v>
      </c>
      <c r="F6" s="16">
        <v>268235.09</v>
      </c>
      <c r="G6" s="16">
        <v>370853.17</v>
      </c>
      <c r="H6" s="16">
        <v>350737.96</v>
      </c>
      <c r="I6" s="16">
        <v>337570.53</v>
      </c>
      <c r="J6" s="16">
        <v>458502.11</v>
      </c>
      <c r="K6" s="16">
        <v>513025.97</v>
      </c>
      <c r="L6" s="16">
        <v>294985.1</v>
      </c>
      <c r="M6" s="16">
        <v>375675.93</v>
      </c>
      <c r="N6" s="16">
        <v>233035.7</v>
      </c>
      <c r="O6" s="16">
        <v>293557.36</v>
      </c>
      <c r="P6" s="12">
        <v>3944136.22</v>
      </c>
      <c r="Q6" s="5"/>
    </row>
    <row r="7" ht="10.5" customHeight="1">
      <c r="A7" s="5"/>
      <c r="B7" s="13" t="s">
        <v>19</v>
      </c>
      <c r="C7" s="14">
        <v>0.0</v>
      </c>
      <c r="D7" s="14">
        <v>207249.37</v>
      </c>
      <c r="E7" s="14">
        <v>240707.93</v>
      </c>
      <c r="F7" s="14">
        <v>268235.09</v>
      </c>
      <c r="G7" s="14">
        <v>370853.17</v>
      </c>
      <c r="H7" s="14">
        <v>350737.96</v>
      </c>
      <c r="I7" s="14">
        <v>337570.53</v>
      </c>
      <c r="J7" s="14">
        <v>458502.11</v>
      </c>
      <c r="K7" s="14">
        <v>513025.97</v>
      </c>
      <c r="L7" s="14">
        <v>294985.1</v>
      </c>
      <c r="M7" s="14">
        <v>375675.93</v>
      </c>
      <c r="N7" s="14">
        <v>233035.7</v>
      </c>
      <c r="O7" s="14">
        <v>293557.36</v>
      </c>
      <c r="P7" s="14">
        <v>3944136.22</v>
      </c>
      <c r="Q7" s="5"/>
    </row>
    <row r="8" ht="10.5" customHeight="1">
      <c r="A8" s="5"/>
      <c r="B8" s="11" t="s">
        <v>20</v>
      </c>
      <c r="C8" s="12">
        <v>0.0</v>
      </c>
      <c r="D8" s="12">
        <v>-115095.11</v>
      </c>
      <c r="E8" s="12">
        <v>-179494.72</v>
      </c>
      <c r="F8" s="12">
        <v>-252151.52</v>
      </c>
      <c r="G8" s="12">
        <v>-271281.64</v>
      </c>
      <c r="H8" s="12">
        <v>-251635.33</v>
      </c>
      <c r="I8" s="12">
        <v>-268086.57</v>
      </c>
      <c r="J8" s="12">
        <v>-393758.94</v>
      </c>
      <c r="K8" s="12">
        <v>-327500.69</v>
      </c>
      <c r="L8" s="12">
        <v>-247662.09</v>
      </c>
      <c r="M8" s="12">
        <v>-322565.56</v>
      </c>
      <c r="N8" s="12">
        <v>-222541.54</v>
      </c>
      <c r="O8" s="12">
        <v>-363753.19</v>
      </c>
      <c r="P8" s="12">
        <v>-3215526.9</v>
      </c>
      <c r="Q8" s="5"/>
    </row>
    <row r="9" ht="10.5" customHeight="1">
      <c r="A9" s="5"/>
      <c r="B9" s="13" t="s">
        <v>21</v>
      </c>
      <c r="C9" s="14">
        <v>0.0</v>
      </c>
      <c r="D9" s="14">
        <v>-168504.7</v>
      </c>
      <c r="E9" s="14">
        <v>-218465.36</v>
      </c>
      <c r="F9" s="14">
        <v>-234765.57</v>
      </c>
      <c r="G9" s="14">
        <v>-266066.33</v>
      </c>
      <c r="H9" s="14">
        <v>-262580.39</v>
      </c>
      <c r="I9" s="14">
        <v>-237918.21</v>
      </c>
      <c r="J9" s="14">
        <v>-463623.55</v>
      </c>
      <c r="K9" s="14">
        <v>-346852.22</v>
      </c>
      <c r="L9" s="14">
        <v>-221335.09</v>
      </c>
      <c r="M9" s="14">
        <v>-312936.6</v>
      </c>
      <c r="N9" s="14">
        <v>-206623.78</v>
      </c>
      <c r="O9" s="14">
        <v>-223612.21</v>
      </c>
      <c r="P9" s="14">
        <v>-3163284.01</v>
      </c>
      <c r="Q9" s="5"/>
    </row>
    <row r="10" ht="10.5" customHeight="1">
      <c r="A10" s="5"/>
      <c r="B10" s="13" t="s">
        <v>50</v>
      </c>
      <c r="C10" s="14">
        <v>0.0</v>
      </c>
      <c r="D10" s="14">
        <v>-1590.41</v>
      </c>
      <c r="E10" s="14">
        <v>-1029.36</v>
      </c>
      <c r="F10" s="14">
        <v>-385.95</v>
      </c>
      <c r="G10" s="14">
        <v>-1215.31</v>
      </c>
      <c r="H10" s="14">
        <v>-54.94</v>
      </c>
      <c r="I10" s="14">
        <v>-168.36</v>
      </c>
      <c r="J10" s="14">
        <v>-135.39</v>
      </c>
      <c r="K10" s="14">
        <v>-648.47</v>
      </c>
      <c r="L10" s="14">
        <v>-327.0</v>
      </c>
      <c r="M10" s="14">
        <v>-628.96</v>
      </c>
      <c r="N10" s="14">
        <v>-917.76</v>
      </c>
      <c r="O10" s="14">
        <v>-140.98</v>
      </c>
      <c r="P10" s="14">
        <v>-7242.89</v>
      </c>
      <c r="Q10" s="5"/>
    </row>
    <row r="11" ht="10.5" customHeight="1">
      <c r="A11" s="5"/>
      <c r="B11" s="13" t="s">
        <v>22</v>
      </c>
      <c r="C11" s="14">
        <v>0.0</v>
      </c>
      <c r="D11" s="14">
        <v>55000.0</v>
      </c>
      <c r="E11" s="14">
        <v>40000.0</v>
      </c>
      <c r="F11" s="14">
        <v>-17000.0</v>
      </c>
      <c r="G11" s="14">
        <v>-4000.0</v>
      </c>
      <c r="H11" s="14">
        <v>11000.0</v>
      </c>
      <c r="I11" s="14">
        <v>-30000.0</v>
      </c>
      <c r="J11" s="14">
        <v>70000.0</v>
      </c>
      <c r="K11" s="14">
        <v>20000.0</v>
      </c>
      <c r="L11" s="14">
        <v>-26000.0</v>
      </c>
      <c r="M11" s="14">
        <v>-9000.0</v>
      </c>
      <c r="N11" s="14">
        <v>-15000.0</v>
      </c>
      <c r="O11" s="14">
        <v>-140000.0</v>
      </c>
      <c r="P11" s="14">
        <v>-45000.0</v>
      </c>
      <c r="Q11" s="5"/>
    </row>
    <row r="12" ht="10.5" customHeight="1">
      <c r="A12" s="5"/>
      <c r="B12" s="11" t="s">
        <v>23</v>
      </c>
      <c r="C12" s="12">
        <v>0.0</v>
      </c>
      <c r="D12" s="17">
        <v>-20725.13</v>
      </c>
      <c r="E12" s="17">
        <v>-21472.61</v>
      </c>
      <c r="F12" s="17">
        <v>-21719.09</v>
      </c>
      <c r="G12" s="17">
        <v>-23695.43</v>
      </c>
      <c r="H12" s="17">
        <v>-25324.26</v>
      </c>
      <c r="I12" s="17">
        <v>-24818.24</v>
      </c>
      <c r="J12" s="17">
        <v>-24830.93</v>
      </c>
      <c r="K12" s="17">
        <v>-25782.23</v>
      </c>
      <c r="L12" s="17">
        <v>-25983.03</v>
      </c>
      <c r="M12" s="17">
        <v>-27892.75</v>
      </c>
      <c r="N12" s="17">
        <v>-26239.81</v>
      </c>
      <c r="O12" s="17">
        <v>-27086.17</v>
      </c>
      <c r="P12" s="12">
        <v>-295569.68</v>
      </c>
      <c r="Q12" s="5"/>
    </row>
    <row r="13" ht="10.5" customHeight="1">
      <c r="A13" s="5"/>
      <c r="B13" s="13" t="s">
        <v>24</v>
      </c>
      <c r="C13" s="14">
        <v>0.0</v>
      </c>
      <c r="D13" s="14">
        <v>-16781.39</v>
      </c>
      <c r="E13" s="14">
        <v>-17489.83</v>
      </c>
      <c r="F13" s="14">
        <v>-17264.92</v>
      </c>
      <c r="G13" s="14">
        <v>-18806.5</v>
      </c>
      <c r="H13" s="14">
        <v>-20329.72</v>
      </c>
      <c r="I13" s="14">
        <v>-20179.63</v>
      </c>
      <c r="J13" s="14">
        <v>-20491.93</v>
      </c>
      <c r="K13" s="14">
        <v>-21212.32</v>
      </c>
      <c r="L13" s="14">
        <v>-21459.48</v>
      </c>
      <c r="M13" s="14">
        <v>-21630.94</v>
      </c>
      <c r="N13" s="14">
        <v>-21043.14</v>
      </c>
      <c r="O13" s="14">
        <v>-21661.72</v>
      </c>
      <c r="P13" s="14">
        <v>-238351.52</v>
      </c>
      <c r="Q13" s="5"/>
    </row>
    <row r="14" ht="10.5" customHeight="1">
      <c r="A14" s="5"/>
      <c r="B14" s="13" t="s">
        <v>51</v>
      </c>
      <c r="C14" s="14">
        <v>0.0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-915.18</v>
      </c>
      <c r="N14" s="14">
        <v>0.0</v>
      </c>
      <c r="O14" s="14">
        <v>0.0</v>
      </c>
      <c r="P14" s="14">
        <v>-915.18</v>
      </c>
      <c r="Q14" s="5"/>
    </row>
    <row r="15" ht="10.5" customHeight="1">
      <c r="A15" s="5"/>
      <c r="B15" s="13" t="s">
        <v>25</v>
      </c>
      <c r="C15" s="14">
        <v>0.0</v>
      </c>
      <c r="D15" s="14">
        <v>-3943.74</v>
      </c>
      <c r="E15" s="14">
        <v>-3982.78</v>
      </c>
      <c r="F15" s="14">
        <v>-4454.17</v>
      </c>
      <c r="G15" s="14">
        <v>-4888.93</v>
      </c>
      <c r="H15" s="14">
        <v>-4994.54</v>
      </c>
      <c r="I15" s="14">
        <v>-4638.61</v>
      </c>
      <c r="J15" s="14">
        <v>-4339.0</v>
      </c>
      <c r="K15" s="14">
        <v>-4569.91</v>
      </c>
      <c r="L15" s="14">
        <v>-4523.55</v>
      </c>
      <c r="M15" s="14">
        <v>-5346.63</v>
      </c>
      <c r="N15" s="14">
        <v>-5196.67</v>
      </c>
      <c r="O15" s="14">
        <v>-5424.45</v>
      </c>
      <c r="P15" s="14">
        <v>-56302.98</v>
      </c>
      <c r="Q15" s="5"/>
    </row>
    <row r="16" ht="10.5" customHeight="1">
      <c r="A16" s="5"/>
      <c r="B16" s="11" t="s">
        <v>27</v>
      </c>
      <c r="C16" s="12">
        <v>0.0</v>
      </c>
      <c r="D16" s="12">
        <v>-20037.43</v>
      </c>
      <c r="E16" s="12">
        <v>-13245.75</v>
      </c>
      <c r="F16" s="12">
        <v>-17371.4</v>
      </c>
      <c r="G16" s="12">
        <v>-17775.15</v>
      </c>
      <c r="H16" s="12">
        <v>-17996.37</v>
      </c>
      <c r="I16" s="12">
        <v>-14925.92</v>
      </c>
      <c r="J16" s="12">
        <v>-27395.05</v>
      </c>
      <c r="K16" s="12">
        <v>-17588.89</v>
      </c>
      <c r="L16" s="12">
        <v>-15606.73</v>
      </c>
      <c r="M16" s="12">
        <v>-29568.96</v>
      </c>
      <c r="N16" s="12">
        <v>-15467.15</v>
      </c>
      <c r="O16" s="12">
        <v>-28994.66</v>
      </c>
      <c r="P16" s="12">
        <v>-235973.46</v>
      </c>
      <c r="Q16" s="5"/>
    </row>
    <row r="17" ht="10.5" customHeight="1">
      <c r="A17" s="5"/>
      <c r="B17" s="13" t="s">
        <v>28</v>
      </c>
      <c r="C17" s="14">
        <v>0.0</v>
      </c>
      <c r="D17" s="14">
        <v>-3310.1</v>
      </c>
      <c r="E17" s="14">
        <v>-3310.1</v>
      </c>
      <c r="F17" s="14">
        <v>-3310.1</v>
      </c>
      <c r="G17" s="14">
        <v>-2728.42</v>
      </c>
      <c r="H17" s="14">
        <v>-4013.35</v>
      </c>
      <c r="I17" s="14">
        <v>-3330.0</v>
      </c>
      <c r="J17" s="14">
        <v>-3330.0</v>
      </c>
      <c r="K17" s="14">
        <v>-3330.0</v>
      </c>
      <c r="L17" s="14">
        <v>-3330.0</v>
      </c>
      <c r="M17" s="14">
        <v>-3330.0</v>
      </c>
      <c r="N17" s="14">
        <v>-3330.0</v>
      </c>
      <c r="O17" s="14">
        <v>-3330.0</v>
      </c>
      <c r="P17" s="14">
        <v>-39982.07</v>
      </c>
      <c r="Q17" s="5"/>
    </row>
    <row r="18" ht="10.5" customHeight="1">
      <c r="A18" s="5"/>
      <c r="B18" s="13" t="s">
        <v>29</v>
      </c>
      <c r="C18" s="14">
        <v>0.0</v>
      </c>
      <c r="D18" s="14">
        <v>-6135.98</v>
      </c>
      <c r="E18" s="14">
        <v>-1078.57</v>
      </c>
      <c r="F18" s="14">
        <v>-3285.57</v>
      </c>
      <c r="G18" s="14">
        <v>-2012.37</v>
      </c>
      <c r="H18" s="14">
        <v>-1780.22</v>
      </c>
      <c r="I18" s="14">
        <v>-5209.1</v>
      </c>
      <c r="J18" s="14">
        <v>-6790.77</v>
      </c>
      <c r="K18" s="14">
        <v>-871.0</v>
      </c>
      <c r="L18" s="14">
        <v>-1991.99</v>
      </c>
      <c r="M18" s="14">
        <v>-3530.12</v>
      </c>
      <c r="N18" s="14">
        <v>-2435.98</v>
      </c>
      <c r="O18" s="14">
        <v>-12262.7</v>
      </c>
      <c r="P18" s="14">
        <v>-47384.37</v>
      </c>
      <c r="Q18" s="5"/>
    </row>
    <row r="19" ht="10.5" customHeight="1">
      <c r="A19" s="5"/>
      <c r="B19" s="13" t="s">
        <v>30</v>
      </c>
      <c r="C19" s="14">
        <v>0.0</v>
      </c>
      <c r="D19" s="14">
        <v>-1010.0</v>
      </c>
      <c r="E19" s="14">
        <v>-1110.0</v>
      </c>
      <c r="F19" s="14">
        <v>-1096.06</v>
      </c>
      <c r="G19" s="14">
        <v>-1056.0</v>
      </c>
      <c r="H19" s="14">
        <v>-1113.66</v>
      </c>
      <c r="I19" s="14">
        <v>-930.0</v>
      </c>
      <c r="J19" s="14">
        <v>-940.0</v>
      </c>
      <c r="K19" s="14">
        <v>-1216.71</v>
      </c>
      <c r="L19" s="14">
        <v>-990.0</v>
      </c>
      <c r="M19" s="14">
        <v>-990.0</v>
      </c>
      <c r="N19" s="14">
        <v>-990.0</v>
      </c>
      <c r="O19" s="14">
        <v>-1252.03</v>
      </c>
      <c r="P19" s="14">
        <v>-12694.46</v>
      </c>
      <c r="Q19" s="5"/>
    </row>
    <row r="20" ht="10.5" customHeight="1">
      <c r="A20" s="5"/>
      <c r="B20" s="13" t="s">
        <v>31</v>
      </c>
      <c r="C20" s="14">
        <v>0.0</v>
      </c>
      <c r="D20" s="14">
        <v>-1538.97</v>
      </c>
      <c r="E20" s="14">
        <v>-1667.8</v>
      </c>
      <c r="F20" s="14">
        <v>-1221.03</v>
      </c>
      <c r="G20" s="14">
        <v>-37.6</v>
      </c>
      <c r="H20" s="14">
        <v>-1458.41</v>
      </c>
      <c r="I20" s="14">
        <v>0.0</v>
      </c>
      <c r="J20" s="14">
        <v>-3274.88</v>
      </c>
      <c r="K20" s="14">
        <v>-1341.56</v>
      </c>
      <c r="L20" s="14">
        <v>-1579.24</v>
      </c>
      <c r="M20" s="14">
        <v>-2728.17</v>
      </c>
      <c r="N20" s="14">
        <v>-975.08</v>
      </c>
      <c r="O20" s="14">
        <v>-1610.34</v>
      </c>
      <c r="P20" s="14">
        <v>-17433.08</v>
      </c>
      <c r="Q20" s="5"/>
    </row>
    <row r="21" ht="10.5" customHeight="1">
      <c r="A21" s="5"/>
      <c r="B21" s="13" t="s">
        <v>32</v>
      </c>
      <c r="C21" s="14">
        <v>0.0</v>
      </c>
      <c r="D21" s="14">
        <v>-1623.53</v>
      </c>
      <c r="E21" s="14">
        <v>-77.27</v>
      </c>
      <c r="F21" s="14">
        <v>-987.1</v>
      </c>
      <c r="G21" s="14">
        <v>-3264.82</v>
      </c>
      <c r="H21" s="14">
        <v>-54.02</v>
      </c>
      <c r="I21" s="14">
        <v>-54.02</v>
      </c>
      <c r="J21" s="14">
        <v>-1630.79</v>
      </c>
      <c r="K21" s="14">
        <v>-54.02</v>
      </c>
      <c r="L21" s="14">
        <v>-407.99</v>
      </c>
      <c r="M21" s="14">
        <v>-2867.16</v>
      </c>
      <c r="N21" s="14">
        <v>-54.02</v>
      </c>
      <c r="O21" s="14">
        <v>-1334.4</v>
      </c>
      <c r="P21" s="14">
        <v>-12409.14</v>
      </c>
      <c r="Q21" s="5"/>
    </row>
    <row r="22" ht="10.5" customHeight="1">
      <c r="A22" s="5"/>
      <c r="B22" s="13" t="s">
        <v>33</v>
      </c>
      <c r="C22" s="14">
        <v>0.0</v>
      </c>
      <c r="D22" s="14">
        <v>-739.74</v>
      </c>
      <c r="E22" s="14">
        <v>-567.97</v>
      </c>
      <c r="F22" s="14">
        <v>-1156.19</v>
      </c>
      <c r="G22" s="14">
        <v>-288.14</v>
      </c>
      <c r="H22" s="14">
        <v>-539.04</v>
      </c>
      <c r="I22" s="14">
        <v>-227.63</v>
      </c>
      <c r="J22" s="14">
        <v>-331.43</v>
      </c>
      <c r="K22" s="14">
        <v>-364.06</v>
      </c>
      <c r="L22" s="14">
        <v>-174.54</v>
      </c>
      <c r="M22" s="14">
        <v>-1438.67</v>
      </c>
      <c r="N22" s="14">
        <v>-234.07</v>
      </c>
      <c r="O22" s="14">
        <v>-1183.43</v>
      </c>
      <c r="P22" s="14">
        <v>-7244.91</v>
      </c>
      <c r="Q22" s="5"/>
    </row>
    <row r="23" ht="10.5" customHeight="1">
      <c r="A23" s="5"/>
      <c r="B23" s="13" t="s">
        <v>34</v>
      </c>
      <c r="C23" s="14">
        <v>0.0</v>
      </c>
      <c r="D23" s="14">
        <v>-195.0</v>
      </c>
      <c r="E23" s="14">
        <v>-282.0</v>
      </c>
      <c r="F23" s="14">
        <v>-773.8</v>
      </c>
      <c r="G23" s="14">
        <v>-195.0</v>
      </c>
      <c r="H23" s="14">
        <v>-1816.2</v>
      </c>
      <c r="I23" s="14">
        <v>-620.0</v>
      </c>
      <c r="J23" s="14">
        <v>-1019.0</v>
      </c>
      <c r="K23" s="14">
        <v>-332.0</v>
      </c>
      <c r="L23" s="14">
        <v>-195.0</v>
      </c>
      <c r="M23" s="14">
        <v>-195.0</v>
      </c>
      <c r="N23" s="14">
        <v>-765.88</v>
      </c>
      <c r="O23" s="14">
        <v>-195.0</v>
      </c>
      <c r="P23" s="14">
        <v>-6583.88</v>
      </c>
      <c r="Q23" s="5"/>
    </row>
    <row r="24" ht="10.5" customHeight="1">
      <c r="A24" s="5"/>
      <c r="B24" s="13" t="s">
        <v>35</v>
      </c>
      <c r="C24" s="14">
        <v>0.0</v>
      </c>
      <c r="D24" s="14">
        <v>-3818.19</v>
      </c>
      <c r="E24" s="14">
        <v>-4376.93</v>
      </c>
      <c r="F24" s="14">
        <v>-3001.24</v>
      </c>
      <c r="G24" s="14">
        <v>-5975.12</v>
      </c>
      <c r="H24" s="14">
        <v>-3907.97</v>
      </c>
      <c r="I24" s="14">
        <v>-1602.79</v>
      </c>
      <c r="J24" s="14">
        <v>-6514.35</v>
      </c>
      <c r="K24" s="14">
        <v>-6264.8</v>
      </c>
      <c r="L24" s="14">
        <v>-5219.63</v>
      </c>
      <c r="M24" s="14">
        <v>-8965.26</v>
      </c>
      <c r="N24" s="14">
        <v>-4690.67</v>
      </c>
      <c r="O24" s="14">
        <v>-5075.62</v>
      </c>
      <c r="P24" s="14">
        <v>-59412.57</v>
      </c>
      <c r="Q24" s="5"/>
    </row>
    <row r="25" ht="10.5" customHeight="1">
      <c r="A25" s="5"/>
      <c r="B25" s="13" t="s">
        <v>36</v>
      </c>
      <c r="C25" s="14">
        <v>0.0</v>
      </c>
      <c r="D25" s="14">
        <v>-1665.92</v>
      </c>
      <c r="E25" s="14">
        <v>-775.11</v>
      </c>
      <c r="F25" s="14">
        <v>-2540.31</v>
      </c>
      <c r="G25" s="14">
        <v>-2217.68</v>
      </c>
      <c r="H25" s="14">
        <v>-2934.81</v>
      </c>
      <c r="I25" s="14">
        <v>-2323.14</v>
      </c>
      <c r="J25" s="14">
        <v>-3144.29</v>
      </c>
      <c r="K25" s="14">
        <v>-3395.2</v>
      </c>
      <c r="L25" s="14">
        <v>-1298.8</v>
      </c>
      <c r="M25" s="14">
        <v>-3767.57</v>
      </c>
      <c r="N25" s="14">
        <v>-1571.91</v>
      </c>
      <c r="O25" s="14">
        <v>-2331.6</v>
      </c>
      <c r="P25" s="14">
        <v>-27966.34</v>
      </c>
      <c r="Q25" s="5"/>
    </row>
    <row r="26" ht="10.5" customHeight="1">
      <c r="A26" s="5"/>
      <c r="B26" s="13" t="s">
        <v>37</v>
      </c>
      <c r="C26" s="14">
        <v>0.0</v>
      </c>
      <c r="D26" s="14">
        <v>0.0</v>
      </c>
      <c r="E26" s="14">
        <v>0.0</v>
      </c>
      <c r="F26" s="14">
        <v>0.0</v>
      </c>
      <c r="G26" s="14">
        <v>0.0</v>
      </c>
      <c r="H26" s="14">
        <v>-378.69</v>
      </c>
      <c r="I26" s="14">
        <v>-629.24</v>
      </c>
      <c r="J26" s="14">
        <v>-419.54</v>
      </c>
      <c r="K26" s="14">
        <v>-419.54</v>
      </c>
      <c r="L26" s="14">
        <v>-419.54</v>
      </c>
      <c r="M26" s="14">
        <v>-1757.01</v>
      </c>
      <c r="N26" s="14">
        <v>-419.54</v>
      </c>
      <c r="O26" s="14">
        <v>-419.54</v>
      </c>
      <c r="P26" s="14">
        <v>-4862.64</v>
      </c>
      <c r="Q26" s="5"/>
    </row>
    <row r="27" ht="10.5" customHeight="1">
      <c r="A27" s="5"/>
      <c r="B27" s="11" t="s">
        <v>38</v>
      </c>
      <c r="C27" s="12">
        <v>0.0</v>
      </c>
      <c r="D27" s="12">
        <v>-1797.47</v>
      </c>
      <c r="E27" s="12">
        <v>-1743.86</v>
      </c>
      <c r="F27" s="12">
        <v>-1979.28</v>
      </c>
      <c r="G27" s="12">
        <v>-2144.8</v>
      </c>
      <c r="H27" s="12">
        <v>-2257.17</v>
      </c>
      <c r="I27" s="12">
        <v>-2584.41</v>
      </c>
      <c r="J27" s="12">
        <v>-2687.29</v>
      </c>
      <c r="K27" s="12">
        <v>-2687.26</v>
      </c>
      <c r="L27" s="12">
        <v>-2600.57</v>
      </c>
      <c r="M27" s="12">
        <v>-2749.65</v>
      </c>
      <c r="N27" s="12">
        <v>-2660.88</v>
      </c>
      <c r="O27" s="12">
        <v>-2733.28</v>
      </c>
      <c r="P27" s="12">
        <v>-28625.92</v>
      </c>
      <c r="Q27" s="5"/>
    </row>
    <row r="28" ht="10.5" customHeight="1">
      <c r="A28" s="5"/>
      <c r="B28" s="13" t="s">
        <v>39</v>
      </c>
      <c r="C28" s="14">
        <v>0.0</v>
      </c>
      <c r="D28" s="14">
        <v>-335.11</v>
      </c>
      <c r="E28" s="14">
        <v>-323.94</v>
      </c>
      <c r="F28" s="14">
        <v>-346.28</v>
      </c>
      <c r="G28" s="14">
        <v>-416.15</v>
      </c>
      <c r="H28" s="14">
        <v>-432.92</v>
      </c>
      <c r="I28" s="14">
        <v>-424.23</v>
      </c>
      <c r="J28" s="14">
        <v>-449.28</v>
      </c>
      <c r="K28" s="14">
        <v>-449.27</v>
      </c>
      <c r="L28" s="14">
        <v>-434.78</v>
      </c>
      <c r="M28" s="14">
        <v>-449.28</v>
      </c>
      <c r="N28" s="14">
        <v>-434.78</v>
      </c>
      <c r="O28" s="14">
        <v>-432.92</v>
      </c>
      <c r="P28" s="14">
        <v>-4928.94</v>
      </c>
      <c r="Q28" s="5"/>
    </row>
    <row r="29" ht="10.5" customHeight="1">
      <c r="A29" s="5"/>
      <c r="B29" s="13" t="s">
        <v>40</v>
      </c>
      <c r="C29" s="14">
        <v>0.0</v>
      </c>
      <c r="D29" s="14">
        <v>-1462.36</v>
      </c>
      <c r="E29" s="14">
        <v>-1419.92</v>
      </c>
      <c r="F29" s="14">
        <v>-1633.0</v>
      </c>
      <c r="G29" s="14">
        <v>-1728.65</v>
      </c>
      <c r="H29" s="14">
        <v>-1824.25</v>
      </c>
      <c r="I29" s="14">
        <v>-2160.18</v>
      </c>
      <c r="J29" s="14">
        <v>-2238.01</v>
      </c>
      <c r="K29" s="14">
        <v>-2237.99</v>
      </c>
      <c r="L29" s="14">
        <v>-2165.79</v>
      </c>
      <c r="M29" s="14">
        <v>-2300.37</v>
      </c>
      <c r="N29" s="14">
        <v>-2226.1</v>
      </c>
      <c r="O29" s="14">
        <v>-2300.36</v>
      </c>
      <c r="P29" s="14">
        <v>-23696.98</v>
      </c>
      <c r="Q29" s="5"/>
    </row>
    <row r="30" ht="10.5" customHeight="1">
      <c r="A30" s="5"/>
      <c r="B30" s="11" t="s">
        <v>41</v>
      </c>
      <c r="C30" s="12">
        <v>0.0</v>
      </c>
      <c r="D30" s="12">
        <v>1.96</v>
      </c>
      <c r="E30" s="12">
        <v>0.11</v>
      </c>
      <c r="F30" s="12">
        <v>1.26</v>
      </c>
      <c r="G30" s="12">
        <v>33.43</v>
      </c>
      <c r="H30" s="12">
        <v>-10523.6</v>
      </c>
      <c r="I30" s="12">
        <v>675.98</v>
      </c>
      <c r="J30" s="12">
        <v>0.22</v>
      </c>
      <c r="K30" s="12">
        <v>3.35</v>
      </c>
      <c r="L30" s="12">
        <v>0.1</v>
      </c>
      <c r="M30" s="12">
        <v>0.69</v>
      </c>
      <c r="N30" s="12">
        <v>13.46</v>
      </c>
      <c r="O30" s="12">
        <v>0.32</v>
      </c>
      <c r="P30" s="12">
        <v>-9792.72</v>
      </c>
      <c r="Q30" s="5"/>
    </row>
    <row r="31" ht="10.5" customHeight="1">
      <c r="A31" s="5"/>
      <c r="B31" s="13" t="s">
        <v>52</v>
      </c>
      <c r="C31" s="14">
        <v>0.0</v>
      </c>
      <c r="D31" s="14">
        <v>0.0</v>
      </c>
      <c r="E31" s="14">
        <v>0.0</v>
      </c>
      <c r="F31" s="14">
        <v>0.0</v>
      </c>
      <c r="G31" s="14">
        <v>0.0</v>
      </c>
      <c r="H31" s="14">
        <v>-10523.69</v>
      </c>
      <c r="I31" s="14">
        <v>668.65</v>
      </c>
      <c r="J31" s="14">
        <v>0.0</v>
      </c>
      <c r="K31" s="14">
        <v>0.0</v>
      </c>
      <c r="L31" s="14">
        <v>0.0</v>
      </c>
      <c r="M31" s="14">
        <v>0.0</v>
      </c>
      <c r="N31" s="14">
        <v>0.0</v>
      </c>
      <c r="O31" s="14">
        <v>0.0</v>
      </c>
      <c r="P31" s="14">
        <v>-9855.04</v>
      </c>
      <c r="Q31" s="5"/>
    </row>
    <row r="32" ht="10.5" customHeight="1">
      <c r="A32" s="5"/>
      <c r="B32" s="13" t="s">
        <v>42</v>
      </c>
      <c r="C32" s="14">
        <v>0.0</v>
      </c>
      <c r="D32" s="14">
        <v>1.96</v>
      </c>
      <c r="E32" s="14">
        <v>0.11</v>
      </c>
      <c r="F32" s="14">
        <v>1.26</v>
      </c>
      <c r="G32" s="14">
        <v>33.43</v>
      </c>
      <c r="H32" s="14">
        <v>0.09</v>
      </c>
      <c r="I32" s="14">
        <v>7.33</v>
      </c>
      <c r="J32" s="14">
        <v>0.22</v>
      </c>
      <c r="K32" s="14">
        <v>3.35</v>
      </c>
      <c r="L32" s="14">
        <v>0.1</v>
      </c>
      <c r="M32" s="14">
        <v>0.69</v>
      </c>
      <c r="N32" s="14">
        <v>13.46</v>
      </c>
      <c r="O32" s="14">
        <v>0.32</v>
      </c>
      <c r="P32" s="14">
        <v>62.32</v>
      </c>
      <c r="Q32" s="5"/>
    </row>
    <row r="33" ht="10.5" customHeight="1">
      <c r="A33" s="5"/>
      <c r="B33" s="6" t="s">
        <v>43</v>
      </c>
      <c r="C33" s="15">
        <v>0.0</v>
      </c>
      <c r="D33" s="15">
        <v>49596.19</v>
      </c>
      <c r="E33" s="15">
        <v>24751.1</v>
      </c>
      <c r="F33" s="15">
        <v>-24984.94</v>
      </c>
      <c r="G33" s="15">
        <v>55989.58</v>
      </c>
      <c r="H33" s="15">
        <v>43001.23</v>
      </c>
      <c r="I33" s="15">
        <v>27831.37</v>
      </c>
      <c r="J33" s="15">
        <v>9830.12</v>
      </c>
      <c r="K33" s="15">
        <v>139470.25</v>
      </c>
      <c r="L33" s="15">
        <v>3132.78</v>
      </c>
      <c r="M33" s="15">
        <v>-7100.3</v>
      </c>
      <c r="N33" s="15">
        <v>-33860.22</v>
      </c>
      <c r="O33" s="15">
        <v>-129009.62</v>
      </c>
      <c r="P33" s="15">
        <v>158647.54</v>
      </c>
      <c r="Q33" s="5"/>
    </row>
    <row r="34" ht="10.5" customHeight="1">
      <c r="A34" s="5"/>
      <c r="B34" s="11" t="s">
        <v>44</v>
      </c>
      <c r="C34" s="12">
        <v>0.0</v>
      </c>
      <c r="D34" s="12">
        <v>-2420.65</v>
      </c>
      <c r="E34" s="12">
        <v>-1100.38</v>
      </c>
      <c r="F34" s="12">
        <v>-1199.16</v>
      </c>
      <c r="G34" s="12">
        <v>-2843.62</v>
      </c>
      <c r="H34" s="12">
        <v>-1372.0</v>
      </c>
      <c r="I34" s="12">
        <v>-2660.13</v>
      </c>
      <c r="J34" s="12">
        <v>-1882.12</v>
      </c>
      <c r="K34" s="12">
        <v>-1494.26</v>
      </c>
      <c r="L34" s="12">
        <v>-1283.52</v>
      </c>
      <c r="M34" s="12">
        <v>-2964.11</v>
      </c>
      <c r="N34" s="12">
        <v>-1255.48</v>
      </c>
      <c r="O34" s="12">
        <v>-1296.95</v>
      </c>
      <c r="P34" s="12">
        <v>-21772.38</v>
      </c>
      <c r="Q34" s="5"/>
    </row>
    <row r="35" ht="10.5" customHeight="1">
      <c r="A35" s="5"/>
      <c r="B35" s="13" t="s">
        <v>46</v>
      </c>
      <c r="C35" s="14">
        <v>0.0</v>
      </c>
      <c r="D35" s="14">
        <v>-2420.65</v>
      </c>
      <c r="E35" s="14">
        <v>-1100.38</v>
      </c>
      <c r="F35" s="14">
        <v>-1199.16</v>
      </c>
      <c r="G35" s="14">
        <v>-2843.62</v>
      </c>
      <c r="H35" s="14">
        <v>-1372.0</v>
      </c>
      <c r="I35" s="14">
        <v>-2660.13</v>
      </c>
      <c r="J35" s="14">
        <v>-1882.12</v>
      </c>
      <c r="K35" s="14">
        <v>-1494.26</v>
      </c>
      <c r="L35" s="14">
        <v>-1283.52</v>
      </c>
      <c r="M35" s="14">
        <v>-2964.11</v>
      </c>
      <c r="N35" s="14">
        <v>-1255.48</v>
      </c>
      <c r="O35" s="14">
        <v>-1296.95</v>
      </c>
      <c r="P35" s="14">
        <v>-21772.38</v>
      </c>
      <c r="Q35" s="5"/>
    </row>
    <row r="36" ht="10.5" customHeight="1">
      <c r="A36" s="5"/>
      <c r="B36" s="6" t="s">
        <v>47</v>
      </c>
      <c r="C36" s="15">
        <v>0.0</v>
      </c>
      <c r="D36" s="15">
        <v>-2420.65</v>
      </c>
      <c r="E36" s="15">
        <v>-1100.38</v>
      </c>
      <c r="F36" s="15">
        <v>-1199.16</v>
      </c>
      <c r="G36" s="15">
        <v>-2843.62</v>
      </c>
      <c r="H36" s="15">
        <v>-1372.0</v>
      </c>
      <c r="I36" s="15">
        <v>-2660.13</v>
      </c>
      <c r="J36" s="15">
        <v>-1882.12</v>
      </c>
      <c r="K36" s="15">
        <v>-1494.26</v>
      </c>
      <c r="L36" s="15">
        <v>-1283.52</v>
      </c>
      <c r="M36" s="15">
        <v>-2964.11</v>
      </c>
      <c r="N36" s="15">
        <v>-1255.48</v>
      </c>
      <c r="O36" s="15">
        <v>-1296.95</v>
      </c>
      <c r="P36" s="15">
        <v>-21772.38</v>
      </c>
      <c r="Q36" s="5"/>
    </row>
    <row r="37" ht="10.5" customHeight="1">
      <c r="A37" s="5"/>
      <c r="B37" s="6" t="s">
        <v>48</v>
      </c>
      <c r="C37" s="15">
        <v>0.0</v>
      </c>
      <c r="D37" s="15">
        <v>47175.54</v>
      </c>
      <c r="E37" s="15">
        <v>23650.72</v>
      </c>
      <c r="F37" s="15">
        <v>-26184.1</v>
      </c>
      <c r="G37" s="15">
        <v>53145.96</v>
      </c>
      <c r="H37" s="15">
        <v>41629.23</v>
      </c>
      <c r="I37" s="15">
        <v>25171.24</v>
      </c>
      <c r="J37" s="15">
        <v>7948.0</v>
      </c>
      <c r="K37" s="15">
        <v>137975.99</v>
      </c>
      <c r="L37" s="15">
        <v>1849.26</v>
      </c>
      <c r="M37" s="15">
        <v>-10064.41</v>
      </c>
      <c r="N37" s="15">
        <v>-35115.7</v>
      </c>
      <c r="O37" s="15">
        <v>-130306.57</v>
      </c>
      <c r="P37" s="15">
        <v>136875.16</v>
      </c>
      <c r="Q37" s="5"/>
    </row>
    <row r="38" ht="10.5" customHeight="1">
      <c r="A38" s="5"/>
      <c r="B38" s="11" t="s">
        <v>53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-34680.79</v>
      </c>
      <c r="P38" s="12">
        <v>-34680.79</v>
      </c>
      <c r="Q38" s="5"/>
    </row>
    <row r="39" ht="10.5" customHeight="1">
      <c r="A39" s="5"/>
      <c r="B39" s="13" t="s">
        <v>54</v>
      </c>
      <c r="C39" s="14">
        <v>0.0</v>
      </c>
      <c r="D39" s="14">
        <v>0.0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-34680.79</v>
      </c>
      <c r="P39" s="14">
        <v>-34680.79</v>
      </c>
      <c r="Q39" s="5"/>
    </row>
    <row r="40" ht="10.5" customHeight="1">
      <c r="A40" s="5"/>
      <c r="B40" s="6" t="s">
        <v>49</v>
      </c>
      <c r="C40" s="15">
        <v>0.0</v>
      </c>
      <c r="D40" s="15">
        <v>47175.54</v>
      </c>
      <c r="E40" s="15">
        <v>23650.72</v>
      </c>
      <c r="F40" s="15">
        <v>-26184.1</v>
      </c>
      <c r="G40" s="15">
        <v>53145.96</v>
      </c>
      <c r="H40" s="15">
        <v>41629.23</v>
      </c>
      <c r="I40" s="15">
        <v>25171.24</v>
      </c>
      <c r="J40" s="15">
        <v>7948.0</v>
      </c>
      <c r="K40" s="15">
        <v>137975.99</v>
      </c>
      <c r="L40" s="15">
        <v>1849.26</v>
      </c>
      <c r="M40" s="15">
        <v>-10064.41</v>
      </c>
      <c r="N40" s="15">
        <v>-35115.7</v>
      </c>
      <c r="O40" s="15">
        <v>-164987.36</v>
      </c>
      <c r="P40" s="15">
        <v>102194.37</v>
      </c>
      <c r="Q40" s="5"/>
    </row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mergeCells count="4">
    <mergeCell ref="A1:Q1"/>
    <mergeCell ref="A2:Q2"/>
    <mergeCell ref="A3:Q3"/>
    <mergeCell ref="B5:Q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29"/>
    <col customWidth="1" min="3" max="3" width="10.14"/>
    <col customWidth="1" min="4" max="4" width="7.86"/>
    <col customWidth="1" min="5" max="5" width="10.29"/>
    <col customWidth="1" min="6" max="6" width="5.71"/>
    <col customWidth="1" min="7" max="7" width="11.14"/>
    <col customWidth="1" min="8" max="8" width="7.29"/>
    <col customWidth="1" min="9" max="9" width="10.29"/>
    <col customWidth="1" min="10" max="10" width="7.71"/>
    <col customWidth="1" min="11" max="11" width="10.29"/>
    <col customWidth="1" min="12" max="12" width="6.86"/>
    <col customWidth="1" min="13" max="13" width="10.29"/>
    <col customWidth="1" min="14" max="14" width="6.71"/>
    <col customWidth="1" min="15" max="15" width="10.29"/>
    <col customWidth="1" min="16" max="16" width="8.29"/>
    <col customWidth="1" min="17" max="17" width="9.29"/>
    <col customWidth="1" min="18" max="18" width="6.29"/>
    <col customWidth="1" min="19" max="19" width="10.29"/>
    <col customWidth="1" min="20" max="20" width="5.14"/>
    <col customWidth="1" min="21" max="29" width="8.29"/>
    <col customWidth="1" min="30" max="30" width="11.71"/>
    <col customWidth="1" min="31" max="31" width="5.57"/>
  </cols>
  <sheetData>
    <row r="1" ht="39.75" customHeight="1">
      <c r="A1" s="1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15.0" customHeight="1">
      <c r="A2" s="19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ht="15.0" customHeight="1">
      <c r="A3" s="19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</row>
    <row r="4" ht="18.0" customHeight="1">
      <c r="A4" s="20"/>
      <c r="B4" s="21" t="s">
        <v>3</v>
      </c>
      <c r="C4" s="22">
        <v>2024.0</v>
      </c>
      <c r="D4" s="23" t="s">
        <v>55</v>
      </c>
      <c r="E4" s="24">
        <v>2025.0</v>
      </c>
      <c r="F4" s="25" t="s">
        <v>55</v>
      </c>
      <c r="G4" s="26" t="s">
        <v>5</v>
      </c>
      <c r="H4" s="27" t="s">
        <v>55</v>
      </c>
      <c r="I4" s="28" t="s">
        <v>6</v>
      </c>
      <c r="J4" s="23" t="s">
        <v>55</v>
      </c>
      <c r="K4" s="28" t="s">
        <v>7</v>
      </c>
      <c r="L4" s="23" t="s">
        <v>55</v>
      </c>
      <c r="M4" s="28" t="s">
        <v>8</v>
      </c>
      <c r="N4" s="22" t="s">
        <v>55</v>
      </c>
      <c r="O4" s="28" t="s">
        <v>9</v>
      </c>
      <c r="P4" s="28" t="s">
        <v>55</v>
      </c>
      <c r="Q4" s="28" t="s">
        <v>10</v>
      </c>
      <c r="R4" s="28"/>
      <c r="S4" s="28" t="s">
        <v>11</v>
      </c>
      <c r="T4" s="28"/>
      <c r="U4" s="28" t="s">
        <v>12</v>
      </c>
      <c r="V4" s="28"/>
      <c r="W4" s="28" t="s">
        <v>13</v>
      </c>
      <c r="X4" s="28"/>
      <c r="Y4" s="28" t="s">
        <v>14</v>
      </c>
      <c r="Z4" s="28"/>
      <c r="AA4" s="28" t="s">
        <v>15</v>
      </c>
      <c r="AB4" s="28"/>
      <c r="AC4" s="28" t="s">
        <v>16</v>
      </c>
      <c r="AD4" s="28" t="s">
        <v>17</v>
      </c>
      <c r="AE4" s="5"/>
    </row>
    <row r="5" ht="0.75" customHeight="1">
      <c r="A5" s="5"/>
      <c r="B5" s="2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/>
    </row>
    <row r="6" ht="10.5" customHeight="1">
      <c r="A6" s="5"/>
      <c r="B6" s="6" t="s">
        <v>18</v>
      </c>
      <c r="C6" s="30" t="str">
        <f>'C. Resultado 2024'!P6</f>
        <v>3,944,136.22</v>
      </c>
      <c r="D6" s="31" t="str">
        <f t="shared" ref="D6:D37" si="1">C6/C$6*100</f>
        <v>100.00</v>
      </c>
      <c r="E6" s="12" t="str">
        <f t="shared" ref="E6:E8" si="2">G6+I6+K6+M6+O6+Q6+S6+U6+W6+Y6</f>
        <v>3,964,665.36</v>
      </c>
      <c r="F6" s="32" t="str">
        <f t="shared" ref="F6:F37" si="3">E6/$E$6*100</f>
        <v>100.00</v>
      </c>
      <c r="G6" s="12" t="str">
        <f>C.Resultado!D6</f>
        <v>236,147.59</v>
      </c>
      <c r="H6" s="33" t="str">
        <f t="shared" ref="H6:H7" si="4">G6/G6*100</f>
        <v>100.00</v>
      </c>
      <c r="I6" s="12" t="str">
        <f>C.Resultado!E6</f>
        <v>270,871.73</v>
      </c>
      <c r="J6" s="34" t="str">
        <f t="shared" ref="J6:J37" si="5">I6/$I$6*100</f>
        <v>100.00</v>
      </c>
      <c r="K6" s="12" t="str">
        <f>C.Resultado!F6</f>
        <v>280,949.94</v>
      </c>
      <c r="L6" s="34" t="str">
        <f t="shared" ref="L6:L37" si="6">K6/$K$6*100</f>
        <v>100.00</v>
      </c>
      <c r="M6" s="12" t="str">
        <f>C.Resultado!G6</f>
        <v>442,246.51</v>
      </c>
      <c r="N6" s="34" t="str">
        <f t="shared" ref="N6:N37" si="7">M6/$M$6*100</f>
        <v>100.00</v>
      </c>
      <c r="O6" s="12" t="str">
        <f>C.Resultado!H6</f>
        <v>400,365.89</v>
      </c>
      <c r="P6" s="34" t="str">
        <f t="shared" ref="P6:P37" si="8">O6/$O$6*100</f>
        <v>100.00</v>
      </c>
      <c r="Q6" s="12" t="str">
        <f>C.Resultado!I6</f>
        <v>432,347.77</v>
      </c>
      <c r="R6" s="34" t="str">
        <f t="shared" ref="R6:R7" si="9">Q6/Q6*100</f>
        <v>100.00</v>
      </c>
      <c r="S6" s="12" t="str">
        <f>C.Resultado!J6</f>
        <v>525,719.39</v>
      </c>
      <c r="T6" s="34" t="str">
        <f t="shared" ref="T6:T37" si="10">S6/$S$6*100</f>
        <v>100.00</v>
      </c>
      <c r="U6" s="12" t="str">
        <f>C.Resultado!K6</f>
        <v>588,138.01</v>
      </c>
      <c r="V6" s="34" t="str">
        <f>U6/U6*100</f>
        <v>100.00</v>
      </c>
      <c r="W6" s="12" t="str">
        <f>C.Resultado!L6</f>
        <v>396,636.72</v>
      </c>
      <c r="X6" s="34" t="str">
        <f t="shared" ref="X6:X37" si="11">W6/$W$6*100</f>
        <v>100.00</v>
      </c>
      <c r="Y6" s="12" t="str">
        <f>C.Resultado!M6</f>
        <v>391,241.81</v>
      </c>
      <c r="Z6" s="34" t="str">
        <f t="shared" ref="Z6:Z37" si="12">Y6/$Y$6*100</f>
        <v>100.00</v>
      </c>
      <c r="AA6" s="12" t="str">
        <f>C.Resultado!N6</f>
        <v>228,955.78</v>
      </c>
      <c r="AB6" s="12" t="str">
        <f t="shared" ref="AB6:AB37" si="13">AA6/$AA$6*100</f>
        <v>100.00</v>
      </c>
      <c r="AC6" s="12">
        <v>0.0</v>
      </c>
      <c r="AD6" s="12">
        <v>1630581.66</v>
      </c>
      <c r="AE6" s="5"/>
    </row>
    <row r="7" ht="10.5" customHeight="1">
      <c r="A7" s="35"/>
      <c r="B7" s="36" t="s">
        <v>19</v>
      </c>
      <c r="C7" s="37" t="str">
        <f>'C. Resultado 2024'!P7</f>
        <v>3,944,136.22</v>
      </c>
      <c r="D7" s="38" t="str">
        <f t="shared" si="1"/>
        <v>100.00</v>
      </c>
      <c r="E7" s="39" t="str">
        <f t="shared" si="2"/>
        <v>3,964,665.36</v>
      </c>
      <c r="F7" s="40" t="str">
        <f t="shared" si="3"/>
        <v>100.00</v>
      </c>
      <c r="G7" s="39" t="str">
        <f>C.Resultado!D7</f>
        <v>236,147.59</v>
      </c>
      <c r="H7" s="41" t="str">
        <f t="shared" si="4"/>
        <v>100.00</v>
      </c>
      <c r="I7" s="39" t="str">
        <f>C.Resultado!E7</f>
        <v>270,871.73</v>
      </c>
      <c r="J7" s="39" t="str">
        <f t="shared" si="5"/>
        <v>100.00</v>
      </c>
      <c r="K7" s="39" t="str">
        <f>C.Resultado!F7</f>
        <v>280,949.94</v>
      </c>
      <c r="L7" s="39" t="str">
        <f t="shared" si="6"/>
        <v>100.00</v>
      </c>
      <c r="M7" s="12" t="str">
        <f>C.Resultado!G7</f>
        <v>442,246.51</v>
      </c>
      <c r="N7" s="39" t="str">
        <f t="shared" si="7"/>
        <v>100.00</v>
      </c>
      <c r="O7" s="39" t="str">
        <f>C.Resultado!H7</f>
        <v>400,365.89</v>
      </c>
      <c r="P7" s="39" t="str">
        <f t="shared" si="8"/>
        <v>100.00</v>
      </c>
      <c r="Q7" s="39" t="str">
        <f>C.Resultado!I7</f>
        <v>432,347.77</v>
      </c>
      <c r="R7" s="39" t="str">
        <f t="shared" si="9"/>
        <v>100.00</v>
      </c>
      <c r="S7" s="39" t="str">
        <f>C.Resultado!J7</f>
        <v>525,719.39</v>
      </c>
      <c r="T7" s="39" t="str">
        <f t="shared" si="10"/>
        <v>100.00</v>
      </c>
      <c r="U7" s="39" t="str">
        <f>C.Resultado!K7</f>
        <v>588,138.01</v>
      </c>
      <c r="V7" s="39" t="str">
        <f>$U$7/V7</f>
        <v>#REF!</v>
      </c>
      <c r="W7" s="39" t="str">
        <f>C.Resultado!L7</f>
        <v>396,636.72</v>
      </c>
      <c r="X7" s="42" t="str">
        <f t="shared" si="11"/>
        <v>100.00</v>
      </c>
      <c r="Y7" s="39" t="str">
        <f>C.Resultado!M7</f>
        <v>391,241.81</v>
      </c>
      <c r="Z7" s="39" t="str">
        <f t="shared" si="12"/>
        <v>100.00</v>
      </c>
      <c r="AA7" s="39" t="str">
        <f>C.Resultado!N7</f>
        <v>228,955.78</v>
      </c>
      <c r="AB7" s="39" t="str">
        <f t="shared" si="13"/>
        <v>100.00</v>
      </c>
      <c r="AC7" s="43">
        <v>0.0</v>
      </c>
      <c r="AD7" s="43">
        <v>1630581.66</v>
      </c>
      <c r="AE7" s="35"/>
    </row>
    <row r="8" ht="10.5" customHeight="1">
      <c r="A8" s="5"/>
      <c r="B8" s="6" t="s">
        <v>20</v>
      </c>
      <c r="C8" s="44" t="str">
        <f>'C. Resultado 2024'!P8</f>
        <v>-3,215,526.90</v>
      </c>
      <c r="D8" s="45" t="str">
        <f t="shared" si="1"/>
        <v>-81.53</v>
      </c>
      <c r="E8" s="12" t="str">
        <f t="shared" si="2"/>
        <v>-3,199,031.63</v>
      </c>
      <c r="F8" s="46" t="str">
        <f t="shared" si="3"/>
        <v>-80.69</v>
      </c>
      <c r="G8" s="12" t="str">
        <f>C.Resultado!D8</f>
        <v>-193,420.38</v>
      </c>
      <c r="H8" s="47" t="str">
        <f>G8/$G$6*100</f>
        <v>-81.91</v>
      </c>
      <c r="I8" s="12" t="str">
        <f>C.Resultado!E8</f>
        <v>-212,742.59</v>
      </c>
      <c r="J8" s="48" t="str">
        <f t="shared" si="5"/>
        <v>-78.54</v>
      </c>
      <c r="K8" s="12" t="str">
        <f>C.Resultado!F8</f>
        <v>-219,635.28</v>
      </c>
      <c r="L8" s="48" t="str">
        <f t="shared" si="6"/>
        <v>-78.18</v>
      </c>
      <c r="M8" s="12" t="str">
        <f>C.Resultado!G8</f>
        <v>-348,220.60</v>
      </c>
      <c r="N8" s="47" t="str">
        <f t="shared" si="7"/>
        <v>-78.74</v>
      </c>
      <c r="O8" s="12" t="str">
        <f>C.Resultado!H8</f>
        <v>-300,730.39</v>
      </c>
      <c r="P8" s="47" t="str">
        <f t="shared" si="8"/>
        <v>-75.11</v>
      </c>
      <c r="Q8" s="12" t="str">
        <f>C.Resultado!I8</f>
        <v>-445,152.42</v>
      </c>
      <c r="R8" s="48" t="str">
        <f t="shared" ref="R8:R36" si="14">Q8/$Q$6*100</f>
        <v>-102.96</v>
      </c>
      <c r="S8" s="12" t="str">
        <f>C.Resultado!J8</f>
        <v>-426,699.16</v>
      </c>
      <c r="T8" s="48" t="str">
        <f t="shared" si="10"/>
        <v>-81.16</v>
      </c>
      <c r="U8" s="12" t="str">
        <f>C.Resultado!K8</f>
        <v>-429,557.48</v>
      </c>
      <c r="V8" s="48" t="str">
        <f t="shared" ref="V8:V37" si="15">U8/$U$7*100</f>
        <v>-73.04</v>
      </c>
      <c r="W8" s="12" t="str">
        <f>C.Resultado!L8</f>
        <v>-303,766.08</v>
      </c>
      <c r="X8" s="48" t="str">
        <f t="shared" si="11"/>
        <v>-76.59</v>
      </c>
      <c r="Y8" s="12" t="str">
        <f>C.Resultado!M8</f>
        <v>-319,107.25</v>
      </c>
      <c r="Z8" s="48" t="str">
        <f t="shared" si="12"/>
        <v>-81.56</v>
      </c>
      <c r="AA8" s="12" t="str">
        <f>C.Resultado!N8</f>
        <v>-139,015.77</v>
      </c>
      <c r="AB8" s="12" t="str">
        <f t="shared" si="13"/>
        <v>-60.72</v>
      </c>
      <c r="AC8" s="12">
        <v>0.0</v>
      </c>
      <c r="AD8" s="12">
        <v>-1260725.83</v>
      </c>
      <c r="AE8" s="5"/>
    </row>
    <row r="9" ht="10.5" customHeight="1">
      <c r="A9" s="5"/>
      <c r="B9" s="49" t="s">
        <v>21</v>
      </c>
      <c r="C9" s="44" t="str">
        <f>'C. Resultado 2024'!P9</f>
        <v>-3,163,284.01</v>
      </c>
      <c r="D9" s="45" t="str">
        <f t="shared" si="1"/>
        <v>-80.20</v>
      </c>
      <c r="E9" s="12" t="str">
        <f t="shared" ref="E9:E10" si="16">G9+I9+K9+M9+O9+Q9+S9</f>
        <v>-2,071,576.64</v>
      </c>
      <c r="F9" s="46" t="str">
        <f t="shared" si="3"/>
        <v>-52.25</v>
      </c>
      <c r="G9" s="12" t="str">
        <f>C.Resultado!D9</f>
        <v>-193,385.42</v>
      </c>
      <c r="H9" s="47" t="str">
        <f t="shared" ref="H9:H37" si="17">-G9/$G$6*100</f>
        <v>81.89</v>
      </c>
      <c r="I9" s="12" t="str">
        <f>C.Resultado!E9</f>
        <v>-210,450.67</v>
      </c>
      <c r="J9" s="48" t="str">
        <f t="shared" si="5"/>
        <v>-77.69</v>
      </c>
      <c r="K9" s="12" t="str">
        <f>C.Resultado!F9</f>
        <v>-219,169.23</v>
      </c>
      <c r="L9" s="48" t="str">
        <f t="shared" si="6"/>
        <v>-78.01</v>
      </c>
      <c r="M9" s="12" t="str">
        <f>C.Resultado!G9</f>
        <v>-348,029.61</v>
      </c>
      <c r="N9" s="47" t="str">
        <f t="shared" si="7"/>
        <v>-78.70</v>
      </c>
      <c r="O9" s="12" t="str">
        <f>C.Resultado!H9</f>
        <v>-300,331.11</v>
      </c>
      <c r="P9" s="47" t="str">
        <f t="shared" si="8"/>
        <v>-75.01</v>
      </c>
      <c r="Q9" s="12" t="str">
        <f>C.Resultado!I9</f>
        <v>-374,511.52</v>
      </c>
      <c r="R9" s="48" t="str">
        <f t="shared" si="14"/>
        <v>-86.62</v>
      </c>
      <c r="S9" s="12" t="str">
        <f>C.Resultado!J9</f>
        <v>-425,699.08</v>
      </c>
      <c r="T9" s="48" t="str">
        <f t="shared" si="10"/>
        <v>-80.97</v>
      </c>
      <c r="U9" s="12" t="str">
        <f>C.Resultado!K9</f>
        <v>-428,847.94</v>
      </c>
      <c r="V9" s="48" t="str">
        <f t="shared" si="15"/>
        <v>-72.92</v>
      </c>
      <c r="W9" s="12" t="str">
        <f>C.Resultado!L9</f>
        <v>-303,198.03</v>
      </c>
      <c r="X9" s="48" t="str">
        <f t="shared" si="11"/>
        <v>-76.44</v>
      </c>
      <c r="Y9" s="12" t="str">
        <f>C.Resultado!M9</f>
        <v>-318,184.84</v>
      </c>
      <c r="Z9" s="48" t="str">
        <f t="shared" si="12"/>
        <v>-81.33</v>
      </c>
      <c r="AA9" s="12" t="str">
        <f>C.Resultado!N9</f>
        <v>-138,878.84</v>
      </c>
      <c r="AB9" s="12" t="str">
        <f t="shared" si="13"/>
        <v>-60.66</v>
      </c>
      <c r="AC9" s="14">
        <v>0.0</v>
      </c>
      <c r="AD9" s="14">
        <v>-1257342.63</v>
      </c>
      <c r="AE9" s="5"/>
    </row>
    <row r="10" ht="10.5" customHeight="1">
      <c r="A10" s="5"/>
      <c r="B10" s="49" t="s">
        <v>50</v>
      </c>
      <c r="C10" s="44" t="str">
        <f>'C. Resultado 2024'!P10</f>
        <v>-7,242.89</v>
      </c>
      <c r="D10" s="45" t="str">
        <f t="shared" si="1"/>
        <v>-0.18</v>
      </c>
      <c r="E10" s="12" t="str">
        <f t="shared" si="16"/>
        <v>-70,000.00</v>
      </c>
      <c r="F10" s="46" t="str">
        <f t="shared" si="3"/>
        <v>-1.77</v>
      </c>
      <c r="G10" s="12" t="str">
        <f>C.Resultado!D10</f>
        <v>0.00</v>
      </c>
      <c r="H10" s="47" t="str">
        <f t="shared" si="17"/>
        <v>0.00</v>
      </c>
      <c r="I10" s="12" t="str">
        <f>C.Resultado!E10</f>
        <v>0.00</v>
      </c>
      <c r="J10" s="48" t="str">
        <f t="shared" si="5"/>
        <v>0.00</v>
      </c>
      <c r="K10" s="12" t="str">
        <f>C.Resultado!F10</f>
        <v>0.00</v>
      </c>
      <c r="L10" s="48" t="str">
        <f t="shared" si="6"/>
        <v>0.00</v>
      </c>
      <c r="M10" s="12" t="str">
        <f>C.Resultado!G10</f>
        <v>0.00</v>
      </c>
      <c r="N10" s="47" t="str">
        <f t="shared" si="7"/>
        <v>0.00</v>
      </c>
      <c r="O10" s="12" t="str">
        <f>C.Resultado!H10</f>
        <v>0.00</v>
      </c>
      <c r="P10" s="47" t="str">
        <f t="shared" si="8"/>
        <v>0.00</v>
      </c>
      <c r="Q10" s="12" t="str">
        <f>C.Resultado!I10</f>
        <v>-70,000.00</v>
      </c>
      <c r="R10" s="48" t="str">
        <f t="shared" si="14"/>
        <v>-16.19</v>
      </c>
      <c r="S10" s="12" t="str">
        <f>C.Resultado!J10</f>
        <v>0.00</v>
      </c>
      <c r="T10" s="48" t="str">
        <f t="shared" si="10"/>
        <v>0.00</v>
      </c>
      <c r="U10" s="12" t="str">
        <f>C.Resultado!K10</f>
        <v>0.00</v>
      </c>
      <c r="V10" s="48" t="str">
        <f t="shared" si="15"/>
        <v>0.00</v>
      </c>
      <c r="W10" s="12" t="str">
        <f>C.Resultado!L10</f>
        <v>0.00</v>
      </c>
      <c r="X10" s="48" t="str">
        <f t="shared" si="11"/>
        <v>0.00</v>
      </c>
      <c r="Y10" s="12" t="str">
        <f>C.Resultado!M10</f>
        <v>0.00</v>
      </c>
      <c r="Z10" s="48" t="str">
        <f t="shared" si="12"/>
        <v>0.00</v>
      </c>
      <c r="AA10" s="12" t="str">
        <f>C.Resultado!N10</f>
        <v>0.00</v>
      </c>
      <c r="AB10" s="12" t="str">
        <f t="shared" si="13"/>
        <v>0.00</v>
      </c>
      <c r="AC10" s="14">
        <v>0.0</v>
      </c>
      <c r="AD10" s="14">
        <v>-3383.2</v>
      </c>
      <c r="AE10" s="5"/>
    </row>
    <row r="11" ht="10.5" customHeight="1">
      <c r="A11" s="35"/>
      <c r="B11" s="50" t="s">
        <v>23</v>
      </c>
      <c r="C11" s="51" t="str">
        <f>'C. Resultado 2024'!P12</f>
        <v>-295,569.68</v>
      </c>
      <c r="D11" s="52" t="str">
        <f t="shared" si="1"/>
        <v>-7.49</v>
      </c>
      <c r="E11" s="39" t="str">
        <f>G11+I11+K11+M11+O11+Q11+S11+U11+W11+Y11</f>
        <v>-320,083.50</v>
      </c>
      <c r="F11" s="40" t="str">
        <f t="shared" si="3"/>
        <v>-8.07</v>
      </c>
      <c r="G11" s="39" t="str">
        <f>C.Resultado!D11</f>
        <v>-29,587.50</v>
      </c>
      <c r="H11" s="41" t="str">
        <f t="shared" si="17"/>
        <v>12.53</v>
      </c>
      <c r="I11" s="39" t="str">
        <f>C.Resultado!E11</f>
        <v>-31,847.94</v>
      </c>
      <c r="J11" s="39" t="str">
        <f t="shared" si="5"/>
        <v>-11.76</v>
      </c>
      <c r="K11" s="39" t="str">
        <f>C.Resultado!F11</f>
        <v>-33,079.90</v>
      </c>
      <c r="L11" s="39" t="str">
        <f t="shared" si="6"/>
        <v>-11.77</v>
      </c>
      <c r="M11" s="39" t="str">
        <f>C.Resultado!G11</f>
        <v>-32,045.01</v>
      </c>
      <c r="N11" s="39" t="str">
        <f t="shared" si="7"/>
        <v>-7.25</v>
      </c>
      <c r="O11" s="39" t="str">
        <f>C.Resultado!H11</f>
        <v>-31,441.29</v>
      </c>
      <c r="P11" s="39" t="str">
        <f t="shared" si="8"/>
        <v>-7.85</v>
      </c>
      <c r="Q11" s="39" t="str">
        <f>C.Resultado!I11</f>
        <v>-31,487.54</v>
      </c>
      <c r="R11" s="39" t="str">
        <f t="shared" si="14"/>
        <v>-7.28</v>
      </c>
      <c r="S11" s="39" t="str">
        <f>C.Resultado!J11</f>
        <v>-31,621.21</v>
      </c>
      <c r="T11" s="53" t="str">
        <f t="shared" si="10"/>
        <v>-6.01</v>
      </c>
      <c r="U11" s="39" t="str">
        <f>C.Resultado!K11</f>
        <v>-32,001.31</v>
      </c>
      <c r="V11" s="53" t="str">
        <f t="shared" si="15"/>
        <v>-5.44</v>
      </c>
      <c r="W11" s="39" t="str">
        <f>C.Resultado!L11</f>
        <v>-33,132.09</v>
      </c>
      <c r="X11" s="53" t="str">
        <f t="shared" si="11"/>
        <v>-8.35</v>
      </c>
      <c r="Y11" s="39" t="str">
        <f>C.Resultado!M11</f>
        <v>-33,839.71</v>
      </c>
      <c r="Z11" s="53" t="str">
        <f t="shared" si="12"/>
        <v>-8.65</v>
      </c>
      <c r="AA11" s="39" t="str">
        <f>C.Resultado!N11</f>
        <v>0.00</v>
      </c>
      <c r="AB11" s="39" t="str">
        <f t="shared" si="13"/>
        <v>0.00</v>
      </c>
      <c r="AC11" s="39">
        <v>0.0</v>
      </c>
      <c r="AD11" s="39">
        <v>-158001.64</v>
      </c>
      <c r="AE11" s="35"/>
    </row>
    <row r="12" ht="10.5" customHeight="1">
      <c r="A12" s="5"/>
      <c r="B12" s="49" t="s">
        <v>24</v>
      </c>
      <c r="C12" s="44" t="str">
        <f>'C. Resultado 2024'!P12</f>
        <v>-295,569.68</v>
      </c>
      <c r="D12" s="45" t="str">
        <f t="shared" si="1"/>
        <v>-7.49</v>
      </c>
      <c r="E12" s="12" t="str">
        <f t="shared" ref="E12:E14" si="18">G12+I12+K12+M12+O12+Q12+S12</f>
        <v>-174,562.83</v>
      </c>
      <c r="F12" s="46" t="str">
        <f t="shared" si="3"/>
        <v>-4.40</v>
      </c>
      <c r="G12" s="12" t="str">
        <f>C.Resultado!D12</f>
        <v>-23,624.09</v>
      </c>
      <c r="H12" s="47" t="str">
        <f t="shared" si="17"/>
        <v>10.00</v>
      </c>
      <c r="I12" s="12" t="str">
        <f>C.Resultado!E12</f>
        <v>-25,565.89</v>
      </c>
      <c r="J12" s="48" t="str">
        <f t="shared" si="5"/>
        <v>-9.44</v>
      </c>
      <c r="K12" s="12" t="str">
        <f>C.Resultado!F12</f>
        <v>-25,762.53</v>
      </c>
      <c r="L12" s="48" t="str">
        <f t="shared" si="6"/>
        <v>-9.17</v>
      </c>
      <c r="M12" s="12" t="str">
        <f>C.Resultado!G12</f>
        <v>-25,200.97</v>
      </c>
      <c r="N12" s="48" t="str">
        <f t="shared" si="7"/>
        <v>-5.70</v>
      </c>
      <c r="O12" s="12" t="str">
        <f>C.Resultado!H12</f>
        <v>-24,489.18</v>
      </c>
      <c r="P12" s="48" t="str">
        <f t="shared" si="8"/>
        <v>-6.12</v>
      </c>
      <c r="Q12" s="12" t="str">
        <f>C.Resultado!I12</f>
        <v>-24,871.92</v>
      </c>
      <c r="R12" s="48" t="str">
        <f t="shared" si="14"/>
        <v>-5.75</v>
      </c>
      <c r="S12" s="12" t="str">
        <f>C.Resultado!J12</f>
        <v>-25,048.25</v>
      </c>
      <c r="T12" s="48" t="str">
        <f t="shared" si="10"/>
        <v>-4.76</v>
      </c>
      <c r="U12" s="12" t="str">
        <f>C.Resultado!K12</f>
        <v>-25,159.77</v>
      </c>
      <c r="V12" s="48" t="str">
        <f t="shared" si="15"/>
        <v>-4.28</v>
      </c>
      <c r="W12" s="12" t="str">
        <f>C.Resultado!L12</f>
        <v>-25,899.92</v>
      </c>
      <c r="X12" s="48" t="str">
        <f t="shared" si="11"/>
        <v>-6.53</v>
      </c>
      <c r="Y12" s="12" t="str">
        <f>C.Resultado!M12</f>
        <v>-26,493.23</v>
      </c>
      <c r="Z12" s="48" t="str">
        <f t="shared" si="12"/>
        <v>-6.77</v>
      </c>
      <c r="AA12" s="12" t="str">
        <f>C.Resultado!N12</f>
        <v>0.00</v>
      </c>
      <c r="AB12" s="12" t="str">
        <f t="shared" si="13"/>
        <v>0.00</v>
      </c>
      <c r="AC12" s="14">
        <v>0.0</v>
      </c>
      <c r="AD12" s="14">
        <v>-124642.66</v>
      </c>
      <c r="AE12" s="5"/>
    </row>
    <row r="13" ht="10.5" customHeight="1">
      <c r="A13" s="5"/>
      <c r="B13" s="49" t="s">
        <v>25</v>
      </c>
      <c r="C13" s="44" t="str">
        <f>'C. Resultado 2024'!P13</f>
        <v>-238,351.52</v>
      </c>
      <c r="D13" s="45" t="str">
        <f t="shared" si="1"/>
        <v>-6.04</v>
      </c>
      <c r="E13" s="12" t="str">
        <f t="shared" si="18"/>
        <v>-45,907.56</v>
      </c>
      <c r="F13" s="46" t="str">
        <f t="shared" si="3"/>
        <v>-1.16</v>
      </c>
      <c r="G13" s="12" t="str">
        <f>C.Resultado!D13</f>
        <v>-5,963.41</v>
      </c>
      <c r="H13" s="47" t="str">
        <f t="shared" si="17"/>
        <v>2.53</v>
      </c>
      <c r="I13" s="12" t="str">
        <f>C.Resultado!E13</f>
        <v>-6,282.05</v>
      </c>
      <c r="J13" s="48" t="str">
        <f t="shared" si="5"/>
        <v>-2.32</v>
      </c>
      <c r="K13" s="12" t="str">
        <f>C.Resultado!F13</f>
        <v>-6,867.37</v>
      </c>
      <c r="L13" s="48" t="str">
        <f t="shared" si="6"/>
        <v>-2.44</v>
      </c>
      <c r="M13" s="12" t="str">
        <f>C.Resultado!G13</f>
        <v>-6,844.04</v>
      </c>
      <c r="N13" s="48" t="str">
        <f t="shared" si="7"/>
        <v>-1.55</v>
      </c>
      <c r="O13" s="12" t="str">
        <f>C.Resultado!H13</f>
        <v>-6,952.11</v>
      </c>
      <c r="P13" s="48" t="str">
        <f t="shared" si="8"/>
        <v>-1.74</v>
      </c>
      <c r="Q13" s="12" t="str">
        <f>C.Resultado!I13</f>
        <v>-6,615.62</v>
      </c>
      <c r="R13" s="48" t="str">
        <f t="shared" si="14"/>
        <v>-1.53</v>
      </c>
      <c r="S13" s="12" t="str">
        <f>C.Resultado!J13</f>
        <v>-6,382.96</v>
      </c>
      <c r="T13" s="48" t="str">
        <f t="shared" si="10"/>
        <v>-1.21</v>
      </c>
      <c r="U13" s="12" t="str">
        <f>C.Resultado!K13</f>
        <v>-6,841.54</v>
      </c>
      <c r="V13" s="48" t="str">
        <f t="shared" si="15"/>
        <v>-1.16</v>
      </c>
      <c r="W13" s="12" t="str">
        <f>C.Resultado!L13</f>
        <v>-7,232.17</v>
      </c>
      <c r="X13" s="48" t="str">
        <f t="shared" si="11"/>
        <v>-1.82</v>
      </c>
      <c r="Y13" s="12" t="str">
        <f>C.Resultado!M13</f>
        <v>-7,346.48</v>
      </c>
      <c r="Z13" s="48" t="str">
        <f t="shared" si="12"/>
        <v>-1.88</v>
      </c>
      <c r="AA13" s="12" t="str">
        <f>C.Resultado!N13</f>
        <v>0.00</v>
      </c>
      <c r="AB13" s="12" t="str">
        <f t="shared" si="13"/>
        <v>0.00</v>
      </c>
      <c r="AC13" s="14">
        <v>0.0</v>
      </c>
      <c r="AD13" s="14">
        <v>-32908.98</v>
      </c>
      <c r="AE13" s="5"/>
    </row>
    <row r="14" ht="10.5" customHeight="1">
      <c r="A14" s="5"/>
      <c r="B14" s="49" t="s">
        <v>26</v>
      </c>
      <c r="C14" s="44" t="str">
        <f>'C. Resultado 2024'!P14</f>
        <v>-915.18</v>
      </c>
      <c r="D14" s="45" t="str">
        <f t="shared" si="1"/>
        <v>-0.02</v>
      </c>
      <c r="E14" s="12" t="str">
        <f t="shared" si="18"/>
        <v>-640.00</v>
      </c>
      <c r="F14" s="46" t="str">
        <f t="shared" si="3"/>
        <v>-0.02</v>
      </c>
      <c r="G14" s="12" t="str">
        <f>C.Resultado!D14</f>
        <v>0.00</v>
      </c>
      <c r="H14" s="47" t="str">
        <f t="shared" si="17"/>
        <v>0.00</v>
      </c>
      <c r="I14" s="12" t="str">
        <f>C.Resultado!E14</f>
        <v>0.00</v>
      </c>
      <c r="J14" s="48" t="str">
        <f t="shared" si="5"/>
        <v>0.00</v>
      </c>
      <c r="K14" s="12" t="str">
        <f>C.Resultado!F14</f>
        <v>-450.00</v>
      </c>
      <c r="L14" s="48" t="str">
        <f t="shared" si="6"/>
        <v>-0.16</v>
      </c>
      <c r="M14" s="12" t="str">
        <f>C.Resultado!G14</f>
        <v>0.00</v>
      </c>
      <c r="N14" s="48" t="str">
        <f t="shared" si="7"/>
        <v>0.00</v>
      </c>
      <c r="O14" s="12" t="str">
        <f>C.Resultado!H14</f>
        <v>0.00</v>
      </c>
      <c r="P14" s="48" t="str">
        <f t="shared" si="8"/>
        <v>0.00</v>
      </c>
      <c r="Q14" s="12" t="str">
        <f>C.Resultado!I14</f>
        <v>0.00</v>
      </c>
      <c r="R14" s="48" t="str">
        <f t="shared" si="14"/>
        <v>0.00</v>
      </c>
      <c r="S14" s="12" t="str">
        <f>C.Resultado!J14</f>
        <v>-190.00</v>
      </c>
      <c r="T14" s="48" t="str">
        <f t="shared" si="10"/>
        <v>-0.04</v>
      </c>
      <c r="U14" s="12" t="str">
        <f>C.Resultado!K14</f>
        <v>0.00</v>
      </c>
      <c r="V14" s="48" t="str">
        <f t="shared" si="15"/>
        <v>0.00</v>
      </c>
      <c r="W14" s="12" t="str">
        <f>C.Resultado!L14</f>
        <v>0.00</v>
      </c>
      <c r="X14" s="48" t="str">
        <f t="shared" si="11"/>
        <v>0.00</v>
      </c>
      <c r="Y14" s="12" t="str">
        <f>C.Resultado!M14</f>
        <v>0.00</v>
      </c>
      <c r="Z14" s="48" t="str">
        <f t="shared" si="12"/>
        <v>0.00</v>
      </c>
      <c r="AA14" s="12" t="str">
        <f>C.Resultado!N14</f>
        <v>0.00</v>
      </c>
      <c r="AB14" s="12" t="str">
        <f t="shared" si="13"/>
        <v>0.00</v>
      </c>
      <c r="AC14" s="14">
        <v>0.0</v>
      </c>
      <c r="AD14" s="14">
        <v>-450.0</v>
      </c>
      <c r="AE14" s="5"/>
    </row>
    <row r="15" ht="10.5" customHeight="1">
      <c r="A15" s="35"/>
      <c r="B15" s="50" t="s">
        <v>27</v>
      </c>
      <c r="C15" s="51" t="str">
        <f>'C. Resultado 2024'!P16</f>
        <v>-235,973.46</v>
      </c>
      <c r="D15" s="45" t="str">
        <f t="shared" si="1"/>
        <v>-5.98</v>
      </c>
      <c r="E15" s="39" t="str">
        <f>G15+I15+K15+M15+O15+Q15+S15+U15+W15+Y15</f>
        <v>-190,209.22</v>
      </c>
      <c r="F15" s="40" t="str">
        <f t="shared" si="3"/>
        <v>-4.80</v>
      </c>
      <c r="G15" s="39" t="str">
        <f>C.Resultado!D15</f>
        <v>-15,243.82</v>
      </c>
      <c r="H15" s="41" t="str">
        <f t="shared" si="17"/>
        <v>6.46</v>
      </c>
      <c r="I15" s="39" t="str">
        <f>C.Resultado!E15</f>
        <v>-19,150.98</v>
      </c>
      <c r="J15" s="39" t="str">
        <f t="shared" si="5"/>
        <v>-7.07</v>
      </c>
      <c r="K15" s="39" t="str">
        <f>C.Resultado!F15</f>
        <v>-27,922.67</v>
      </c>
      <c r="L15" s="39" t="str">
        <f t="shared" si="6"/>
        <v>-9.94</v>
      </c>
      <c r="M15" s="39" t="str">
        <f>C.Resultado!G15</f>
        <v>-17,873.58</v>
      </c>
      <c r="N15" s="39" t="str">
        <f t="shared" si="7"/>
        <v>-4.04</v>
      </c>
      <c r="O15" s="39" t="str">
        <f>C.Resultado!H15</f>
        <v>-19,413.88</v>
      </c>
      <c r="P15" s="39" t="str">
        <f t="shared" si="8"/>
        <v>-4.85</v>
      </c>
      <c r="Q15" s="39" t="str">
        <f>C.Resultado!I15</f>
        <v>-19,663.22</v>
      </c>
      <c r="R15" s="39" t="str">
        <f t="shared" si="14"/>
        <v>-4.55</v>
      </c>
      <c r="S15" s="39" t="str">
        <f>C.Resultado!J15</f>
        <v>-22,293.14</v>
      </c>
      <c r="T15" s="53" t="str">
        <f t="shared" si="10"/>
        <v>-4.24</v>
      </c>
      <c r="U15" s="39" t="str">
        <f>C.Resultado!K15</f>
        <v>-14,135.82</v>
      </c>
      <c r="V15" s="53" t="str">
        <f t="shared" si="15"/>
        <v>-2.40</v>
      </c>
      <c r="W15" s="39" t="str">
        <f>C.Resultado!L15</f>
        <v>-16,101.18</v>
      </c>
      <c r="X15" s="53" t="str">
        <f t="shared" si="11"/>
        <v>-4.06</v>
      </c>
      <c r="Y15" s="39" t="str">
        <f>C.Resultado!M15</f>
        <v>-18,410.93</v>
      </c>
      <c r="Z15" s="53" t="str">
        <f t="shared" si="12"/>
        <v>-4.71</v>
      </c>
      <c r="AA15" s="39" t="str">
        <f>C.Resultado!N15</f>
        <v>-6,237.27</v>
      </c>
      <c r="AB15" s="39" t="str">
        <f t="shared" si="13"/>
        <v>-2.72</v>
      </c>
      <c r="AC15" s="39">
        <v>0.0</v>
      </c>
      <c r="AD15" s="39">
        <v>-107473.37</v>
      </c>
      <c r="AE15" s="35"/>
    </row>
    <row r="16" ht="10.5" customHeight="1">
      <c r="A16" s="5"/>
      <c r="B16" s="49" t="s">
        <v>28</v>
      </c>
      <c r="C16" s="44" t="str">
        <f>'C. Resultado 2024'!P17</f>
        <v>-39,982.07</v>
      </c>
      <c r="D16" s="45" t="str">
        <f t="shared" si="1"/>
        <v>-1.01</v>
      </c>
      <c r="E16" s="12" t="str">
        <f t="shared" ref="E16:E25" si="19">G16+I16+K16+M16+O16+Q16+S16</f>
        <v>-36,085.25</v>
      </c>
      <c r="F16" s="46" t="str">
        <f t="shared" si="3"/>
        <v>-0.91</v>
      </c>
      <c r="G16" s="12" t="str">
        <f>C.Resultado!D16</f>
        <v>-3,451.51</v>
      </c>
      <c r="H16" s="47" t="str">
        <f t="shared" si="17"/>
        <v>1.46</v>
      </c>
      <c r="I16" s="12" t="str">
        <f>C.Resultado!E16</f>
        <v>-3,591.55</v>
      </c>
      <c r="J16" s="48" t="str">
        <f t="shared" si="5"/>
        <v>-1.33</v>
      </c>
      <c r="K16" s="12" t="str">
        <f>C.Resultado!F16</f>
        <v>-12,150.19</v>
      </c>
      <c r="L16" s="48" t="str">
        <f t="shared" si="6"/>
        <v>-4.32</v>
      </c>
      <c r="M16" s="12" t="str">
        <f>C.Resultado!G16</f>
        <v>-3,699.45</v>
      </c>
      <c r="N16" s="48" t="str">
        <f t="shared" si="7"/>
        <v>-0.84</v>
      </c>
      <c r="O16" s="12" t="str">
        <f>C.Resultado!H16</f>
        <v>-3,699.45</v>
      </c>
      <c r="P16" s="48" t="str">
        <f t="shared" si="8"/>
        <v>-0.92</v>
      </c>
      <c r="Q16" s="12" t="str">
        <f>C.Resultado!I16</f>
        <v>-3,745.22</v>
      </c>
      <c r="R16" s="48" t="str">
        <f t="shared" si="14"/>
        <v>-0.87</v>
      </c>
      <c r="S16" s="12" t="str">
        <f>C.Resultado!J16</f>
        <v>-5,747.88</v>
      </c>
      <c r="T16" s="48" t="str">
        <f t="shared" si="10"/>
        <v>-1.09</v>
      </c>
      <c r="U16" s="12" t="str">
        <f>C.Resultado!K16</f>
        <v>-3,699.45</v>
      </c>
      <c r="V16" s="48" t="str">
        <f t="shared" si="15"/>
        <v>-0.63</v>
      </c>
      <c r="W16" s="12" t="str">
        <f>C.Resultado!L16</f>
        <v>-3,699.45</v>
      </c>
      <c r="X16" s="48" t="str">
        <f t="shared" si="11"/>
        <v>-0.93</v>
      </c>
      <c r="Y16" s="12" t="str">
        <f>C.Resultado!M16</f>
        <v>-1,077.10</v>
      </c>
      <c r="Z16" s="48" t="str">
        <f t="shared" si="12"/>
        <v>-0.28</v>
      </c>
      <c r="AA16" s="12" t="str">
        <f>C.Resultado!N16</f>
        <v>-882.59</v>
      </c>
      <c r="AB16" s="12" t="str">
        <f t="shared" si="13"/>
        <v>-0.39</v>
      </c>
      <c r="AC16" s="14">
        <v>0.0</v>
      </c>
      <c r="AD16" s="14">
        <v>-25554.78</v>
      </c>
      <c r="AE16" s="5"/>
    </row>
    <row r="17" ht="10.5" customHeight="1">
      <c r="A17" s="5"/>
      <c r="B17" s="49" t="s">
        <v>29</v>
      </c>
      <c r="C17" s="44" t="str">
        <f>'C. Resultado 2024'!P18</f>
        <v>-47,384.37</v>
      </c>
      <c r="D17" s="45" t="str">
        <f t="shared" si="1"/>
        <v>-1.20</v>
      </c>
      <c r="E17" s="12" t="str">
        <f t="shared" si="19"/>
        <v>-23,172.53</v>
      </c>
      <c r="F17" s="46" t="str">
        <f t="shared" si="3"/>
        <v>-0.58</v>
      </c>
      <c r="G17" s="12" t="str">
        <f>C.Resultado!D17</f>
        <v>-2,448.78</v>
      </c>
      <c r="H17" s="47" t="str">
        <f t="shared" si="17"/>
        <v>1.04</v>
      </c>
      <c r="I17" s="12" t="str">
        <f>C.Resultado!E17</f>
        <v>-3,903.12</v>
      </c>
      <c r="J17" s="48" t="str">
        <f t="shared" si="5"/>
        <v>-1.44</v>
      </c>
      <c r="K17" s="12" t="str">
        <f>C.Resultado!F17</f>
        <v>-3,846.69</v>
      </c>
      <c r="L17" s="48" t="str">
        <f t="shared" si="6"/>
        <v>-1.37</v>
      </c>
      <c r="M17" s="12" t="str">
        <f>C.Resultado!G17</f>
        <v>-1,408.02</v>
      </c>
      <c r="N17" s="48" t="str">
        <f t="shared" si="7"/>
        <v>-0.32</v>
      </c>
      <c r="O17" s="12" t="str">
        <f>C.Resultado!H17</f>
        <v>-2,060.71</v>
      </c>
      <c r="P17" s="48" t="str">
        <f t="shared" si="8"/>
        <v>-0.51</v>
      </c>
      <c r="Q17" s="12" t="str">
        <f>C.Resultado!I17</f>
        <v>-7,472.57</v>
      </c>
      <c r="R17" s="48" t="str">
        <f t="shared" si="14"/>
        <v>-1.73</v>
      </c>
      <c r="S17" s="12" t="str">
        <f>C.Resultado!J17</f>
        <v>-2,032.64</v>
      </c>
      <c r="T17" s="48" t="str">
        <f t="shared" si="10"/>
        <v>-0.39</v>
      </c>
      <c r="U17" s="12" t="str">
        <f>C.Resultado!K17</f>
        <v>-265.11</v>
      </c>
      <c r="V17" s="48" t="str">
        <f t="shared" si="15"/>
        <v>-0.05</v>
      </c>
      <c r="W17" s="12" t="str">
        <f>C.Resultado!L17</f>
        <v>-1,534.12</v>
      </c>
      <c r="X17" s="48" t="str">
        <f t="shared" si="11"/>
        <v>-0.39</v>
      </c>
      <c r="Y17" s="12" t="str">
        <f>C.Resultado!M17</f>
        <v>-781.05</v>
      </c>
      <c r="Z17" s="48" t="str">
        <f t="shared" si="12"/>
        <v>-0.20</v>
      </c>
      <c r="AA17" s="12" t="str">
        <f>C.Resultado!N17</f>
        <v>-2,495.82</v>
      </c>
      <c r="AB17" s="12" t="str">
        <f t="shared" si="13"/>
        <v>-1.09</v>
      </c>
      <c r="AC17" s="14">
        <v>0.0</v>
      </c>
      <c r="AD17" s="14">
        <v>-21341.08</v>
      </c>
      <c r="AE17" s="5"/>
    </row>
    <row r="18" ht="10.5" customHeight="1">
      <c r="A18" s="5"/>
      <c r="B18" s="49" t="s">
        <v>30</v>
      </c>
      <c r="C18" s="44" t="str">
        <f>'C. Resultado 2024'!P19</f>
        <v>-12,694.46</v>
      </c>
      <c r="D18" s="45" t="str">
        <f t="shared" si="1"/>
        <v>-0.32</v>
      </c>
      <c r="E18" s="12" t="str">
        <f t="shared" si="19"/>
        <v>-7,230.00</v>
      </c>
      <c r="F18" s="46" t="str">
        <f t="shared" si="3"/>
        <v>-0.18</v>
      </c>
      <c r="G18" s="12" t="str">
        <f>C.Resultado!D18</f>
        <v>-1,090.00</v>
      </c>
      <c r="H18" s="47" t="str">
        <f t="shared" si="17"/>
        <v>0.46</v>
      </c>
      <c r="I18" s="12" t="str">
        <f>C.Resultado!E18</f>
        <v>-1,080.00</v>
      </c>
      <c r="J18" s="48" t="str">
        <f t="shared" si="5"/>
        <v>-0.40</v>
      </c>
      <c r="K18" s="12" t="str">
        <f>C.Resultado!F18</f>
        <v>-980.00</v>
      </c>
      <c r="L18" s="48" t="str">
        <f t="shared" si="6"/>
        <v>-0.35</v>
      </c>
      <c r="M18" s="12" t="str">
        <f>C.Resultado!G18</f>
        <v>-1,200.00</v>
      </c>
      <c r="N18" s="48" t="str">
        <f t="shared" si="7"/>
        <v>-0.27</v>
      </c>
      <c r="O18" s="12" t="str">
        <f>C.Resultado!H18</f>
        <v>-1,040.00</v>
      </c>
      <c r="P18" s="48" t="str">
        <f t="shared" si="8"/>
        <v>-0.26</v>
      </c>
      <c r="Q18" s="12" t="str">
        <f>C.Resultado!I18</f>
        <v>-800.00</v>
      </c>
      <c r="R18" s="48" t="str">
        <f t="shared" si="14"/>
        <v>-0.19</v>
      </c>
      <c r="S18" s="12" t="str">
        <f>C.Resultado!J18</f>
        <v>-1,040.00</v>
      </c>
      <c r="T18" s="48" t="str">
        <f t="shared" si="10"/>
        <v>-0.20</v>
      </c>
      <c r="U18" s="12" t="str">
        <f>C.Resultado!K18</f>
        <v>-1,040.00</v>
      </c>
      <c r="V18" s="48" t="str">
        <f t="shared" si="15"/>
        <v>-0.18</v>
      </c>
      <c r="W18" s="12" t="str">
        <f>C.Resultado!L18</f>
        <v>-1,040.00</v>
      </c>
      <c r="X18" s="48" t="str">
        <f t="shared" si="11"/>
        <v>-0.26</v>
      </c>
      <c r="Y18" s="12" t="str">
        <f>C.Resultado!M18</f>
        <v>0.00</v>
      </c>
      <c r="Z18" s="48" t="str">
        <f t="shared" si="12"/>
        <v>0.00</v>
      </c>
      <c r="AA18" s="12" t="str">
        <f>C.Resultado!N18</f>
        <v>0.00</v>
      </c>
      <c r="AB18" s="12" t="str">
        <f t="shared" si="13"/>
        <v>0.00</v>
      </c>
      <c r="AC18" s="14">
        <v>0.0</v>
      </c>
      <c r="AD18" s="14">
        <v>-4430.0</v>
      </c>
      <c r="AE18" s="5"/>
    </row>
    <row r="19" ht="10.5" customHeight="1">
      <c r="A19" s="5"/>
      <c r="B19" s="49" t="s">
        <v>31</v>
      </c>
      <c r="C19" s="44" t="str">
        <f>'C. Resultado 2024'!P20</f>
        <v>-17,433.08</v>
      </c>
      <c r="D19" s="45" t="str">
        <f t="shared" si="1"/>
        <v>-0.44</v>
      </c>
      <c r="E19" s="12" t="str">
        <f t="shared" si="19"/>
        <v>-7,996.61</v>
      </c>
      <c r="F19" s="46" t="str">
        <f t="shared" si="3"/>
        <v>-0.20</v>
      </c>
      <c r="G19" s="12" t="str">
        <f>C.Resultado!D19</f>
        <v>-24.58</v>
      </c>
      <c r="H19" s="47" t="str">
        <f t="shared" si="17"/>
        <v>0.01</v>
      </c>
      <c r="I19" s="12" t="str">
        <f>C.Resultado!E19</f>
        <v>-1,540.97</v>
      </c>
      <c r="J19" s="48" t="str">
        <f t="shared" si="5"/>
        <v>-0.57</v>
      </c>
      <c r="K19" s="12" t="str">
        <f>C.Resultado!F19</f>
        <v>-1,307.56</v>
      </c>
      <c r="L19" s="48" t="str">
        <f t="shared" si="6"/>
        <v>-0.47</v>
      </c>
      <c r="M19" s="12" t="str">
        <f>C.Resultado!G19</f>
        <v>-1,468.03</v>
      </c>
      <c r="N19" s="48" t="str">
        <f t="shared" si="7"/>
        <v>-0.33</v>
      </c>
      <c r="O19" s="12" t="str">
        <f>C.Resultado!H19</f>
        <v>-1,324.42</v>
      </c>
      <c r="P19" s="48" t="str">
        <f t="shared" si="8"/>
        <v>-0.33</v>
      </c>
      <c r="Q19" s="12" t="str">
        <f>C.Resultado!I19</f>
        <v>-1,119.80</v>
      </c>
      <c r="R19" s="48" t="str">
        <f t="shared" si="14"/>
        <v>-0.26</v>
      </c>
      <c r="S19" s="12" t="str">
        <f>C.Resultado!J19</f>
        <v>-1,211.25</v>
      </c>
      <c r="T19" s="48" t="str">
        <f t="shared" si="10"/>
        <v>-0.23</v>
      </c>
      <c r="U19" s="12" t="str">
        <f>C.Resultado!K19</f>
        <v>-1,323.17</v>
      </c>
      <c r="V19" s="48" t="str">
        <f t="shared" si="15"/>
        <v>-0.22</v>
      </c>
      <c r="W19" s="12" t="str">
        <f>C.Resultado!L19</f>
        <v>-1,259.87</v>
      </c>
      <c r="X19" s="48" t="str">
        <f t="shared" si="11"/>
        <v>-0.32</v>
      </c>
      <c r="Y19" s="12" t="str">
        <f>C.Resultado!M19</f>
        <v>-1,794.71</v>
      </c>
      <c r="Z19" s="48" t="str">
        <f t="shared" si="12"/>
        <v>-0.46</v>
      </c>
      <c r="AA19" s="12" t="str">
        <f>C.Resultado!N19</f>
        <v>0.00</v>
      </c>
      <c r="AB19" s="12" t="str">
        <f t="shared" si="13"/>
        <v>0.00</v>
      </c>
      <c r="AC19" s="14">
        <v>0.0</v>
      </c>
      <c r="AD19" s="14">
        <v>-5665.56</v>
      </c>
      <c r="AE19" s="5"/>
    </row>
    <row r="20" ht="10.5" customHeight="1">
      <c r="A20" s="5"/>
      <c r="B20" s="49" t="s">
        <v>32</v>
      </c>
      <c r="C20" s="44" t="str">
        <f>'C. Resultado 2024'!P21</f>
        <v>-12,409.14</v>
      </c>
      <c r="D20" s="45" t="str">
        <f t="shared" si="1"/>
        <v>-0.31</v>
      </c>
      <c r="E20" s="12" t="str">
        <f t="shared" si="19"/>
        <v>-9,667.96</v>
      </c>
      <c r="F20" s="46" t="str">
        <f t="shared" si="3"/>
        <v>-0.24</v>
      </c>
      <c r="G20" s="12" t="str">
        <f>C.Resultado!D20</f>
        <v>-1,680.65</v>
      </c>
      <c r="H20" s="47" t="str">
        <f t="shared" si="17"/>
        <v>0.71</v>
      </c>
      <c r="I20" s="12" t="str">
        <f>C.Resultado!E20</f>
        <v>-437.34</v>
      </c>
      <c r="J20" s="48" t="str">
        <f t="shared" si="5"/>
        <v>-0.16</v>
      </c>
      <c r="K20" s="12" t="str">
        <f>C.Resultado!F20</f>
        <v>-1,615.03</v>
      </c>
      <c r="L20" s="48" t="str">
        <f t="shared" si="6"/>
        <v>-0.57</v>
      </c>
      <c r="M20" s="12" t="str">
        <f>C.Resultado!G20</f>
        <v>-2,688.54</v>
      </c>
      <c r="N20" s="48" t="str">
        <f t="shared" si="7"/>
        <v>-0.61</v>
      </c>
      <c r="O20" s="12" t="str">
        <f>C.Resultado!H20</f>
        <v>-1,476.10</v>
      </c>
      <c r="P20" s="48" t="str">
        <f t="shared" si="8"/>
        <v>-0.37</v>
      </c>
      <c r="Q20" s="12" t="str">
        <f>C.Resultado!I20</f>
        <v>-54.02</v>
      </c>
      <c r="R20" s="48" t="str">
        <f t="shared" si="14"/>
        <v>-0.01</v>
      </c>
      <c r="S20" s="12" t="str">
        <f>C.Resultado!J20</f>
        <v>-1,716.28</v>
      </c>
      <c r="T20" s="48" t="str">
        <f t="shared" si="10"/>
        <v>-0.33</v>
      </c>
      <c r="U20" s="12" t="str">
        <f>C.Resultado!K20</f>
        <v>1,215.98</v>
      </c>
      <c r="V20" s="48" t="str">
        <f t="shared" si="15"/>
        <v>0.21</v>
      </c>
      <c r="W20" s="12" t="str">
        <f>C.Resultado!L20</f>
        <v>-1,370.17</v>
      </c>
      <c r="X20" s="48" t="str">
        <f t="shared" si="11"/>
        <v>-0.35</v>
      </c>
      <c r="Y20" s="12" t="str">
        <f>C.Resultado!M20</f>
        <v>-3,107.43</v>
      </c>
      <c r="Z20" s="48" t="str">
        <f t="shared" si="12"/>
        <v>-0.79</v>
      </c>
      <c r="AA20" s="12" t="str">
        <f>C.Resultado!N20</f>
        <v>-1,453.04</v>
      </c>
      <c r="AB20" s="12" t="str">
        <f t="shared" si="13"/>
        <v>-0.63</v>
      </c>
      <c r="AC20" s="14">
        <v>0.0</v>
      </c>
      <c r="AD20" s="14">
        <v>-7897.66</v>
      </c>
      <c r="AE20" s="5"/>
    </row>
    <row r="21" ht="10.5" customHeight="1">
      <c r="A21" s="5"/>
      <c r="B21" s="49" t="s">
        <v>33</v>
      </c>
      <c r="C21" s="44" t="str">
        <f>'C. Resultado 2024'!P22</f>
        <v>-7,244.91</v>
      </c>
      <c r="D21" s="45" t="str">
        <f t="shared" si="1"/>
        <v>-0.18</v>
      </c>
      <c r="E21" s="12" t="str">
        <f t="shared" si="19"/>
        <v>4,234.73</v>
      </c>
      <c r="F21" s="46" t="str">
        <f t="shared" si="3"/>
        <v>0.11</v>
      </c>
      <c r="G21" s="12" t="str">
        <f>C.Resultado!D21</f>
        <v>-285.86</v>
      </c>
      <c r="H21" s="47" t="str">
        <f t="shared" si="17"/>
        <v>0.12</v>
      </c>
      <c r="I21" s="12" t="str">
        <f>C.Resultado!E21</f>
        <v>-546.32</v>
      </c>
      <c r="J21" s="48" t="str">
        <f t="shared" si="5"/>
        <v>-0.20</v>
      </c>
      <c r="K21" s="12" t="str">
        <f>C.Resultado!F21</f>
        <v>-679.10</v>
      </c>
      <c r="L21" s="48" t="str">
        <f t="shared" si="6"/>
        <v>-0.24</v>
      </c>
      <c r="M21" s="12" t="str">
        <f>C.Resultado!G21</f>
        <v>-482.19</v>
      </c>
      <c r="N21" s="48" t="str">
        <f t="shared" si="7"/>
        <v>-0.11</v>
      </c>
      <c r="O21" s="12" t="str">
        <f>C.Resultado!H21</f>
        <v>-256.07</v>
      </c>
      <c r="P21" s="48" t="str">
        <f t="shared" si="8"/>
        <v>-0.06</v>
      </c>
      <c r="Q21" s="12" t="str">
        <f>C.Resultado!I21</f>
        <v>5,189.88</v>
      </c>
      <c r="R21" s="48" t="str">
        <f t="shared" si="14"/>
        <v>1.20</v>
      </c>
      <c r="S21" s="12" t="str">
        <f>C.Resultado!J21</f>
        <v>1,294.39</v>
      </c>
      <c r="T21" s="48" t="str">
        <f t="shared" si="10"/>
        <v>0.25</v>
      </c>
      <c r="U21" s="12" t="str">
        <f>C.Resultado!K21</f>
        <v>-198.32</v>
      </c>
      <c r="V21" s="48" t="str">
        <f t="shared" si="15"/>
        <v>-0.03</v>
      </c>
      <c r="W21" s="12" t="str">
        <f>C.Resultado!L21</f>
        <v>-273.38</v>
      </c>
      <c r="X21" s="48" t="str">
        <f t="shared" si="11"/>
        <v>-0.07</v>
      </c>
      <c r="Y21" s="12" t="str">
        <f>C.Resultado!M21</f>
        <v>-458.87</v>
      </c>
      <c r="Z21" s="48" t="str">
        <f t="shared" si="12"/>
        <v>-0.12</v>
      </c>
      <c r="AA21" s="12" t="str">
        <f>C.Resultado!N21</f>
        <v>-144.15</v>
      </c>
      <c r="AB21" s="12" t="str">
        <f t="shared" si="13"/>
        <v>-0.06</v>
      </c>
      <c r="AC21" s="14">
        <v>0.0</v>
      </c>
      <c r="AD21" s="14">
        <v>-2317.47</v>
      </c>
      <c r="AE21" s="5"/>
    </row>
    <row r="22" ht="10.5" customHeight="1">
      <c r="A22" s="5"/>
      <c r="B22" s="49" t="s">
        <v>34</v>
      </c>
      <c r="C22" s="44" t="str">
        <f>'C. Resultado 2024'!P23</f>
        <v>-6,583.88</v>
      </c>
      <c r="D22" s="45" t="str">
        <f t="shared" si="1"/>
        <v>-0.17</v>
      </c>
      <c r="E22" s="12" t="str">
        <f t="shared" si="19"/>
        <v>-4,924.00</v>
      </c>
      <c r="F22" s="46" t="str">
        <f t="shared" si="3"/>
        <v>-0.12</v>
      </c>
      <c r="G22" s="12" t="str">
        <f>C.Resultado!D22</f>
        <v>-195.00</v>
      </c>
      <c r="H22" s="47" t="str">
        <f t="shared" si="17"/>
        <v>0.08</v>
      </c>
      <c r="I22" s="12" t="str">
        <f>C.Resultado!E22</f>
        <v>-195.00</v>
      </c>
      <c r="J22" s="48" t="str">
        <f t="shared" si="5"/>
        <v>-0.07</v>
      </c>
      <c r="K22" s="12" t="str">
        <f>C.Resultado!F22</f>
        <v>-195.00</v>
      </c>
      <c r="L22" s="48" t="str">
        <f t="shared" si="6"/>
        <v>-0.07</v>
      </c>
      <c r="M22" s="12" t="str">
        <f>C.Resultado!G22</f>
        <v>0.00</v>
      </c>
      <c r="N22" s="48" t="str">
        <f t="shared" si="7"/>
        <v>0.00</v>
      </c>
      <c r="O22" s="12" t="str">
        <f>C.Resultado!H22</f>
        <v>-1,139.00</v>
      </c>
      <c r="P22" s="48" t="str">
        <f t="shared" si="8"/>
        <v>-0.28</v>
      </c>
      <c r="Q22" s="12" t="str">
        <f>C.Resultado!I22</f>
        <v>-2,484.00</v>
      </c>
      <c r="R22" s="48" t="str">
        <f t="shared" si="14"/>
        <v>-0.57</v>
      </c>
      <c r="S22" s="12" t="str">
        <f>C.Resultado!J22</f>
        <v>-716.00</v>
      </c>
      <c r="T22" s="48" t="str">
        <f t="shared" si="10"/>
        <v>-0.14</v>
      </c>
      <c r="U22" s="12" t="str">
        <f>C.Resultado!K22</f>
        <v>0.00</v>
      </c>
      <c r="V22" s="48" t="str">
        <f t="shared" si="15"/>
        <v>0.00</v>
      </c>
      <c r="W22" s="12" t="str">
        <f>C.Resultado!L22</f>
        <v>-150.00</v>
      </c>
      <c r="X22" s="48" t="str">
        <f t="shared" si="11"/>
        <v>-0.04</v>
      </c>
      <c r="Y22" s="12" t="str">
        <f>C.Resultado!M22</f>
        <v>0.00</v>
      </c>
      <c r="Z22" s="48" t="str">
        <f t="shared" si="12"/>
        <v>0.00</v>
      </c>
      <c r="AA22" s="12" t="str">
        <f>C.Resultado!N22</f>
        <v>-612.00</v>
      </c>
      <c r="AB22" s="12" t="str">
        <f t="shared" si="13"/>
        <v>-0.27</v>
      </c>
      <c r="AC22" s="14">
        <v>0.0</v>
      </c>
      <c r="AD22" s="14">
        <v>-1724.0</v>
      </c>
      <c r="AE22" s="5"/>
    </row>
    <row r="23" ht="10.5" customHeight="1">
      <c r="A23" s="5"/>
      <c r="B23" s="49" t="s">
        <v>35</v>
      </c>
      <c r="C23" s="44" t="str">
        <f>'C. Resultado 2024'!P24</f>
        <v>-59,412.57</v>
      </c>
      <c r="D23" s="45" t="str">
        <f t="shared" si="1"/>
        <v>-1.51</v>
      </c>
      <c r="E23" s="12" t="str">
        <f t="shared" si="19"/>
        <v>-36,685.67</v>
      </c>
      <c r="F23" s="46" t="str">
        <f t="shared" si="3"/>
        <v>-0.93</v>
      </c>
      <c r="G23" s="12" t="str">
        <f>C.Resultado!D23</f>
        <v>-4,023.35</v>
      </c>
      <c r="H23" s="47" t="str">
        <f t="shared" si="17"/>
        <v>1.70</v>
      </c>
      <c r="I23" s="12" t="str">
        <f>C.Resultado!E23</f>
        <v>-5,457.85</v>
      </c>
      <c r="J23" s="48" t="str">
        <f t="shared" si="5"/>
        <v>-2.01</v>
      </c>
      <c r="K23" s="12" t="str">
        <f>C.Resultado!F23</f>
        <v>-4,794.15</v>
      </c>
      <c r="L23" s="48" t="str">
        <f t="shared" si="6"/>
        <v>-1.71</v>
      </c>
      <c r="M23" s="12" t="str">
        <f>C.Resultado!G23</f>
        <v>-4,595.15</v>
      </c>
      <c r="N23" s="48" t="str">
        <f t="shared" si="7"/>
        <v>-1.04</v>
      </c>
      <c r="O23" s="12" t="str">
        <f>C.Resultado!H23</f>
        <v>-4,066.06</v>
      </c>
      <c r="P23" s="48" t="str">
        <f t="shared" si="8"/>
        <v>-1.02</v>
      </c>
      <c r="Q23" s="12" t="str">
        <f>C.Resultado!I23</f>
        <v>-4,470.97</v>
      </c>
      <c r="R23" s="48" t="str">
        <f t="shared" si="14"/>
        <v>-1.03</v>
      </c>
      <c r="S23" s="12" t="str">
        <f>C.Resultado!J23</f>
        <v>-9,278.14</v>
      </c>
      <c r="T23" s="48" t="str">
        <f t="shared" si="10"/>
        <v>-1.76</v>
      </c>
      <c r="U23" s="12" t="str">
        <f>C.Resultado!K23</f>
        <v>-7,030.62</v>
      </c>
      <c r="V23" s="48" t="str">
        <f t="shared" si="15"/>
        <v>-1.20</v>
      </c>
      <c r="W23" s="12" t="str">
        <f>C.Resultado!L23</f>
        <v>-6,087.51</v>
      </c>
      <c r="X23" s="48" t="str">
        <f t="shared" si="11"/>
        <v>-1.53</v>
      </c>
      <c r="Y23" s="12" t="str">
        <f>C.Resultado!M23</f>
        <v>-5,703.52</v>
      </c>
      <c r="Z23" s="48" t="str">
        <f t="shared" si="12"/>
        <v>-1.46</v>
      </c>
      <c r="AA23" s="12" t="str">
        <f>C.Resultado!N23</f>
        <v>-54.90</v>
      </c>
      <c r="AB23" s="12" t="str">
        <f t="shared" si="13"/>
        <v>-0.02</v>
      </c>
      <c r="AC23" s="14">
        <v>0.0</v>
      </c>
      <c r="AD23" s="14">
        <v>-24260.77</v>
      </c>
      <c r="AE23" s="5"/>
    </row>
    <row r="24" ht="10.5" customHeight="1">
      <c r="A24" s="5"/>
      <c r="B24" s="49" t="s">
        <v>36</v>
      </c>
      <c r="C24" s="44" t="str">
        <f>'C. Resultado 2024'!P25</f>
        <v>-27,966.34</v>
      </c>
      <c r="D24" s="45" t="str">
        <f t="shared" si="1"/>
        <v>-0.71</v>
      </c>
      <c r="E24" s="12" t="str">
        <f t="shared" si="19"/>
        <v>-16,922.79</v>
      </c>
      <c r="F24" s="46" t="str">
        <f t="shared" si="3"/>
        <v>-0.43</v>
      </c>
      <c r="G24" s="12" t="str">
        <f>C.Resultado!D24</f>
        <v>-1,624.55</v>
      </c>
      <c r="H24" s="47" t="str">
        <f t="shared" si="17"/>
        <v>0.69</v>
      </c>
      <c r="I24" s="12" t="str">
        <f>C.Resultado!E24</f>
        <v>-1,979.77</v>
      </c>
      <c r="J24" s="48" t="str">
        <f t="shared" si="5"/>
        <v>-0.73</v>
      </c>
      <c r="K24" s="12" t="str">
        <f>C.Resultado!F24</f>
        <v>-2,354.95</v>
      </c>
      <c r="L24" s="48" t="str">
        <f t="shared" si="6"/>
        <v>-0.84</v>
      </c>
      <c r="M24" s="12" t="str">
        <f>C.Resultado!G24</f>
        <v>-2,332.20</v>
      </c>
      <c r="N24" s="48" t="str">
        <f t="shared" si="7"/>
        <v>-0.53</v>
      </c>
      <c r="O24" s="12" t="str">
        <f>C.Resultado!H24</f>
        <v>-2,079.46</v>
      </c>
      <c r="P24" s="48" t="str">
        <f t="shared" si="8"/>
        <v>-0.52</v>
      </c>
      <c r="Q24" s="12" t="str">
        <f>C.Resultado!I24</f>
        <v>-4,706.52</v>
      </c>
      <c r="R24" s="48" t="str">
        <f t="shared" si="14"/>
        <v>-1.09</v>
      </c>
      <c r="S24" s="12" t="str">
        <f>C.Resultado!J24</f>
        <v>-1,845.34</v>
      </c>
      <c r="T24" s="48" t="str">
        <f t="shared" si="10"/>
        <v>-0.35</v>
      </c>
      <c r="U24" s="12" t="str">
        <f>C.Resultado!K24</f>
        <v>-1,536.47</v>
      </c>
      <c r="V24" s="48" t="str">
        <f t="shared" si="15"/>
        <v>-0.26</v>
      </c>
      <c r="W24" s="12" t="str">
        <f>C.Resultado!L24</f>
        <v>-686.68</v>
      </c>
      <c r="X24" s="48" t="str">
        <f t="shared" si="11"/>
        <v>-0.17</v>
      </c>
      <c r="Y24" s="12" t="str">
        <f>C.Resultado!M24</f>
        <v>-2,059.88</v>
      </c>
      <c r="Z24" s="48" t="str">
        <f t="shared" si="12"/>
        <v>-0.53</v>
      </c>
      <c r="AA24" s="12" t="str">
        <f>C.Resultado!N24</f>
        <v>-594.77</v>
      </c>
      <c r="AB24" s="12" t="str">
        <f t="shared" si="13"/>
        <v>-0.26</v>
      </c>
      <c r="AC24" s="14">
        <v>0.0</v>
      </c>
      <c r="AD24" s="14">
        <v>-11170.84</v>
      </c>
      <c r="AE24" s="5"/>
    </row>
    <row r="25" ht="10.5" customHeight="1">
      <c r="A25" s="5"/>
      <c r="B25" s="49" t="s">
        <v>37</v>
      </c>
      <c r="C25" s="44" t="str">
        <f>'C. Resultado 2024'!P26</f>
        <v>-4,862.64</v>
      </c>
      <c r="D25" s="45" t="str">
        <f t="shared" si="1"/>
        <v>-0.12</v>
      </c>
      <c r="E25" s="12" t="str">
        <f t="shared" si="19"/>
        <v>-3,111.21</v>
      </c>
      <c r="F25" s="46" t="str">
        <f t="shared" si="3"/>
        <v>-0.08</v>
      </c>
      <c r="G25" s="12" t="str">
        <f>C.Resultado!D25</f>
        <v>-419.54</v>
      </c>
      <c r="H25" s="47" t="str">
        <f t="shared" si="17"/>
        <v>0.18</v>
      </c>
      <c r="I25" s="12" t="str">
        <f>C.Resultado!E25</f>
        <v>-419.06</v>
      </c>
      <c r="J25" s="48" t="str">
        <f t="shared" si="5"/>
        <v>-0.15</v>
      </c>
      <c r="K25" s="12" t="str">
        <f>C.Resultado!F25</f>
        <v>0.00</v>
      </c>
      <c r="L25" s="48" t="str">
        <f t="shared" si="6"/>
        <v>0.00</v>
      </c>
      <c r="M25" s="12" t="str">
        <f>C.Resultado!G25</f>
        <v>0.00</v>
      </c>
      <c r="N25" s="48" t="str">
        <f t="shared" si="7"/>
        <v>0.00</v>
      </c>
      <c r="O25" s="12" t="str">
        <f>C.Resultado!H25</f>
        <v>-2,272.61</v>
      </c>
      <c r="P25" s="48" t="str">
        <f t="shared" si="8"/>
        <v>-0.57</v>
      </c>
      <c r="Q25" s="12" t="str">
        <f>C.Resultado!I25</f>
        <v>0.00</v>
      </c>
      <c r="R25" s="48" t="str">
        <f t="shared" si="14"/>
        <v>0.00</v>
      </c>
      <c r="S25" s="12" t="str">
        <f>C.Resultado!J25</f>
        <v>0.00</v>
      </c>
      <c r="T25" s="48" t="str">
        <f t="shared" si="10"/>
        <v>0.00</v>
      </c>
      <c r="U25" s="12" t="str">
        <f>C.Resultado!K25</f>
        <v>-258.66</v>
      </c>
      <c r="V25" s="48" t="str">
        <f t="shared" si="15"/>
        <v>-0.04</v>
      </c>
      <c r="W25" s="12" t="str">
        <f>C.Resultado!L25</f>
        <v>0.00</v>
      </c>
      <c r="X25" s="48" t="str">
        <f t="shared" si="11"/>
        <v>0.00</v>
      </c>
      <c r="Y25" s="12" t="str">
        <f>C.Resultado!M25</f>
        <v>-3,428.37</v>
      </c>
      <c r="Z25" s="48" t="str">
        <f t="shared" si="12"/>
        <v>-0.88</v>
      </c>
      <c r="AA25" s="12" t="str">
        <f>C.Resultado!N25</f>
        <v>0.00</v>
      </c>
      <c r="AB25" s="12" t="str">
        <f t="shared" si="13"/>
        <v>0.00</v>
      </c>
      <c r="AC25" s="14">
        <v>0.0</v>
      </c>
      <c r="AD25" s="14">
        <v>-3111.21</v>
      </c>
      <c r="AE25" s="5"/>
    </row>
    <row r="26" ht="10.5" customHeight="1">
      <c r="A26" s="35"/>
      <c r="B26" s="50" t="s">
        <v>38</v>
      </c>
      <c r="C26" s="37" t="str">
        <f>'C. Resultado 2024'!P27</f>
        <v>-28,625.92</v>
      </c>
      <c r="D26" s="45" t="str">
        <f t="shared" si="1"/>
        <v>-0.73</v>
      </c>
      <c r="E26" s="39" t="str">
        <f>G26+I26+K26+M26+O26+Q26+S26+U26+W26+Y26</f>
        <v>-24,074.25</v>
      </c>
      <c r="F26" s="40" t="str">
        <f t="shared" si="3"/>
        <v>-0.61</v>
      </c>
      <c r="G26" s="39" t="str">
        <f>C.Resultado!D26</f>
        <v>-2,394.24</v>
      </c>
      <c r="H26" s="41" t="str">
        <f t="shared" si="17"/>
        <v>1.01</v>
      </c>
      <c r="I26" s="39" t="str">
        <f>C.Resultado!E26</f>
        <v>-2,162.56</v>
      </c>
      <c r="J26" s="39" t="str">
        <f t="shared" si="5"/>
        <v>-0.80</v>
      </c>
      <c r="K26" s="39" t="str">
        <f>C.Resultado!F26</f>
        <v>-2,405.99</v>
      </c>
      <c r="L26" s="39" t="str">
        <f t="shared" si="6"/>
        <v>-0.86</v>
      </c>
      <c r="M26" s="39" t="str">
        <f>C.Resultado!G26</f>
        <v>-2,332.99</v>
      </c>
      <c r="N26" s="39" t="str">
        <f t="shared" si="7"/>
        <v>-0.53</v>
      </c>
      <c r="O26" s="39" t="str">
        <f>C.Resultado!H26</f>
        <v>-2,438.22</v>
      </c>
      <c r="P26" s="39" t="str">
        <f t="shared" si="8"/>
        <v>-0.61</v>
      </c>
      <c r="Q26" s="39" t="str">
        <f>C.Resultado!I26</f>
        <v>-2,388.43</v>
      </c>
      <c r="R26" s="39" t="str">
        <f t="shared" si="14"/>
        <v>-0.55</v>
      </c>
      <c r="S26" s="39" t="str">
        <f>C.Resultado!J26</f>
        <v>-2,508.19</v>
      </c>
      <c r="T26" s="53" t="str">
        <f t="shared" si="10"/>
        <v>-0.48</v>
      </c>
      <c r="U26" s="39" t="str">
        <f>C.Resultado!K26</f>
        <v>-2,508.16</v>
      </c>
      <c r="V26" s="53" t="str">
        <f t="shared" si="15"/>
        <v>-0.43</v>
      </c>
      <c r="W26" s="39" t="str">
        <f>C.Resultado!L26</f>
        <v>-2,427.27</v>
      </c>
      <c r="X26" s="53" t="str">
        <f t="shared" si="11"/>
        <v>-0.61</v>
      </c>
      <c r="Y26" s="39" t="str">
        <f>C.Resultado!M26</f>
        <v>-2,508.20</v>
      </c>
      <c r="Z26" s="53" t="str">
        <f t="shared" si="12"/>
        <v>-0.64</v>
      </c>
      <c r="AA26" s="39" t="str">
        <f>C.Resultado!N26</f>
        <v>-2,427.26</v>
      </c>
      <c r="AB26" s="39" t="str">
        <f t="shared" si="13"/>
        <v>-1.06</v>
      </c>
      <c r="AC26" s="39">
        <v>-2394.21</v>
      </c>
      <c r="AD26" s="39">
        <v>-28190.25</v>
      </c>
      <c r="AE26" s="35"/>
    </row>
    <row r="27" ht="10.5" customHeight="1">
      <c r="A27" s="5"/>
      <c r="B27" s="49" t="s">
        <v>39</v>
      </c>
      <c r="C27" s="54" t="str">
        <f>'C. Resultado 2024'!P28</f>
        <v>-4,928.94</v>
      </c>
      <c r="D27" s="45" t="str">
        <f t="shared" si="1"/>
        <v>-0.12</v>
      </c>
      <c r="E27" s="12" t="str">
        <f t="shared" ref="E27:E31" si="20">G27+I27+K27+M27+O27+Q27+S27</f>
        <v>-3,080.91</v>
      </c>
      <c r="F27" s="46" t="str">
        <f t="shared" si="3"/>
        <v>-0.08</v>
      </c>
      <c r="G27" s="12" t="str">
        <f>C.Resultado!D27</f>
        <v>-450.51</v>
      </c>
      <c r="H27" s="47" t="str">
        <f t="shared" si="17"/>
        <v>0.19</v>
      </c>
      <c r="I27" s="12" t="str">
        <f>C.Resultado!E27</f>
        <v>-406.91</v>
      </c>
      <c r="J27" s="48" t="str">
        <f t="shared" si="5"/>
        <v>-0.15</v>
      </c>
      <c r="K27" s="12" t="str">
        <f>C.Resultado!F27</f>
        <v>-450.51</v>
      </c>
      <c r="L27" s="48" t="str">
        <f t="shared" si="6"/>
        <v>-0.16</v>
      </c>
      <c r="M27" s="12" t="str">
        <f>C.Resultado!G27</f>
        <v>-435.98</v>
      </c>
      <c r="N27" s="48" t="str">
        <f t="shared" si="7"/>
        <v>-0.10</v>
      </c>
      <c r="O27" s="12" t="str">
        <f>C.Resultado!H27</f>
        <v>-450.51</v>
      </c>
      <c r="P27" s="48" t="str">
        <f t="shared" si="8"/>
        <v>-0.11</v>
      </c>
      <c r="Q27" s="12" t="str">
        <f>C.Resultado!I27</f>
        <v>-435.98</v>
      </c>
      <c r="R27" s="55" t="str">
        <f t="shared" si="14"/>
        <v>-0.10</v>
      </c>
      <c r="S27" s="12" t="str">
        <f>C.Resultado!J27</f>
        <v>-450.51</v>
      </c>
      <c r="T27" s="48" t="str">
        <f t="shared" si="10"/>
        <v>-0.09</v>
      </c>
      <c r="U27" s="12" t="str">
        <f>C.Resultado!K27</f>
        <v>-450.51</v>
      </c>
      <c r="V27" s="48" t="str">
        <f t="shared" si="15"/>
        <v>-0.08</v>
      </c>
      <c r="W27" s="12" t="str">
        <f>C.Resultado!L27</f>
        <v>-435.98</v>
      </c>
      <c r="X27" s="48" t="str">
        <f t="shared" si="11"/>
        <v>-0.11</v>
      </c>
      <c r="Y27" s="12" t="str">
        <f>C.Resultado!M27</f>
        <v>-450.51</v>
      </c>
      <c r="Z27" s="48" t="str">
        <f t="shared" si="12"/>
        <v>-0.12</v>
      </c>
      <c r="AA27" s="12" t="str">
        <f>C.Resultado!N27</f>
        <v>-435.98</v>
      </c>
      <c r="AB27" s="12" t="str">
        <f t="shared" si="13"/>
        <v>-0.19</v>
      </c>
      <c r="AC27" s="14">
        <v>-450.51</v>
      </c>
      <c r="AD27" s="14">
        <v>-5304.4</v>
      </c>
      <c r="AE27" s="5"/>
    </row>
    <row r="28" ht="10.5" customHeight="1">
      <c r="A28" s="5"/>
      <c r="B28" s="49" t="s">
        <v>40</v>
      </c>
      <c r="C28" s="54" t="str">
        <f>'C. Resultado 2024'!P29</f>
        <v>-23,696.98</v>
      </c>
      <c r="D28" s="45" t="str">
        <f t="shared" si="1"/>
        <v>-0.60</v>
      </c>
      <c r="E28" s="12" t="str">
        <f t="shared" si="20"/>
        <v>-13,549.71</v>
      </c>
      <c r="F28" s="46" t="str">
        <f t="shared" si="3"/>
        <v>-0.34</v>
      </c>
      <c r="G28" s="12" t="str">
        <f>C.Resultado!D28</f>
        <v>-1,943.73</v>
      </c>
      <c r="H28" s="47" t="str">
        <f t="shared" si="17"/>
        <v>0.82</v>
      </c>
      <c r="I28" s="12" t="str">
        <f>C.Resultado!E28</f>
        <v>-1,755.65</v>
      </c>
      <c r="J28" s="48" t="str">
        <f t="shared" si="5"/>
        <v>-0.65</v>
      </c>
      <c r="K28" s="12" t="str">
        <f>C.Resultado!F28</f>
        <v>-1,955.48</v>
      </c>
      <c r="L28" s="48" t="str">
        <f t="shared" si="6"/>
        <v>-0.70</v>
      </c>
      <c r="M28" s="12" t="str">
        <f>C.Resultado!G28</f>
        <v>-1,897.01</v>
      </c>
      <c r="N28" s="48" t="str">
        <f t="shared" si="7"/>
        <v>-0.43</v>
      </c>
      <c r="O28" s="12" t="str">
        <f>C.Resultado!H28</f>
        <v>-1,987.71</v>
      </c>
      <c r="P28" s="48" t="str">
        <f t="shared" si="8"/>
        <v>-0.50</v>
      </c>
      <c r="Q28" s="12" t="str">
        <f>C.Resultado!I28</f>
        <v>-1,952.45</v>
      </c>
      <c r="R28" s="55" t="str">
        <f t="shared" si="14"/>
        <v>-0.45</v>
      </c>
      <c r="S28" s="12" t="str">
        <f>C.Resultado!J28</f>
        <v>-2,057.68</v>
      </c>
      <c r="T28" s="48" t="str">
        <f t="shared" si="10"/>
        <v>-0.39</v>
      </c>
      <c r="U28" s="12" t="str">
        <f>C.Resultado!K28</f>
        <v>-2,057.65</v>
      </c>
      <c r="V28" s="48" t="str">
        <f t="shared" si="15"/>
        <v>-0.35</v>
      </c>
      <c r="W28" s="12" t="str">
        <f>C.Resultado!L28</f>
        <v>-1,991.29</v>
      </c>
      <c r="X28" s="48" t="str">
        <f t="shared" si="11"/>
        <v>-0.50</v>
      </c>
      <c r="Y28" s="12" t="str">
        <f>C.Resultado!M28</f>
        <v>-2,057.69</v>
      </c>
      <c r="Z28" s="48" t="str">
        <f t="shared" si="12"/>
        <v>-0.53</v>
      </c>
      <c r="AA28" s="12" t="str">
        <f>C.Resultado!N28</f>
        <v>-1,991.28</v>
      </c>
      <c r="AB28" s="12" t="str">
        <f t="shared" si="13"/>
        <v>-0.87</v>
      </c>
      <c r="AC28" s="14">
        <v>-1943.7</v>
      </c>
      <c r="AD28" s="14">
        <v>-22885.85</v>
      </c>
      <c r="AE28" s="5"/>
    </row>
    <row r="29" ht="10.5" customHeight="1">
      <c r="A29" s="35"/>
      <c r="B29" s="50" t="s">
        <v>41</v>
      </c>
      <c r="C29" s="56" t="str">
        <f>'C. Resultado 2024'!P30</f>
        <v>-9,792.72</v>
      </c>
      <c r="D29" s="45" t="str">
        <f t="shared" si="1"/>
        <v>-0.25</v>
      </c>
      <c r="E29" s="39" t="str">
        <f t="shared" si="20"/>
        <v>2,610.60</v>
      </c>
      <c r="F29" s="40" t="str">
        <f t="shared" si="3"/>
        <v>0.07</v>
      </c>
      <c r="G29" s="39" t="str">
        <f>C.Resultado!D29</f>
        <v>0.56</v>
      </c>
      <c r="H29" s="41" t="str">
        <f t="shared" si="17"/>
        <v>0.00</v>
      </c>
      <c r="I29" s="39" t="str">
        <f>C.Resultado!E29</f>
        <v>2,327.00</v>
      </c>
      <c r="J29" s="39" t="str">
        <f t="shared" si="5"/>
        <v>0.86</v>
      </c>
      <c r="K29" s="39" t="str">
        <f>C.Resultado!F29</f>
        <v>249.88</v>
      </c>
      <c r="L29" s="39" t="str">
        <f t="shared" si="6"/>
        <v>0.09</v>
      </c>
      <c r="M29" s="39" t="str">
        <f>C.Resultado!G29</f>
        <v>24.36</v>
      </c>
      <c r="N29" s="39" t="str">
        <f t="shared" si="7"/>
        <v>0.01</v>
      </c>
      <c r="O29" s="39" t="str">
        <f>C.Resultado!H29</f>
        <v>0.00</v>
      </c>
      <c r="P29" s="39" t="str">
        <f t="shared" si="8"/>
        <v>0.00</v>
      </c>
      <c r="Q29" s="39" t="str">
        <f>C.Resultado!I29</f>
        <v>8.80</v>
      </c>
      <c r="R29" s="39" t="str">
        <f t="shared" si="14"/>
        <v>0.00</v>
      </c>
      <c r="S29" s="39" t="str">
        <f>C.Resultado!J29</f>
        <v>0.00</v>
      </c>
      <c r="T29" s="53" t="str">
        <f t="shared" si="10"/>
        <v>0.00</v>
      </c>
      <c r="U29" s="39" t="str">
        <f>C.Resultado!K29</f>
        <v>0.00</v>
      </c>
      <c r="V29" s="53" t="str">
        <f t="shared" si="15"/>
        <v>0.00</v>
      </c>
      <c r="W29" s="39" t="str">
        <f>C.Resultado!L29</f>
        <v>0.00</v>
      </c>
      <c r="X29" s="53" t="str">
        <f t="shared" si="11"/>
        <v>0.00</v>
      </c>
      <c r="Y29" s="39" t="str">
        <f>C.Resultado!M29</f>
        <v>0.00</v>
      </c>
      <c r="Z29" s="53" t="str">
        <f t="shared" si="12"/>
        <v>0.00</v>
      </c>
      <c r="AA29" s="39" t="str">
        <f>C.Resultado!N29</f>
        <v>14.28</v>
      </c>
      <c r="AB29" s="39" t="str">
        <f t="shared" si="13"/>
        <v>0.01</v>
      </c>
      <c r="AC29" s="39">
        <v>0.0</v>
      </c>
      <c r="AD29" s="39">
        <v>2601.8</v>
      </c>
      <c r="AE29" s="35"/>
    </row>
    <row r="30" ht="10.5" customHeight="1">
      <c r="A30" s="5"/>
      <c r="B30" s="49" t="s">
        <v>42</v>
      </c>
      <c r="C30" s="54" t="str">
        <f>'C. Resultado 2024'!P30</f>
        <v>-9,792.72</v>
      </c>
      <c r="D30" s="45" t="str">
        <f t="shared" si="1"/>
        <v>-0.25</v>
      </c>
      <c r="E30" s="12" t="str">
        <f t="shared" si="20"/>
        <v>2,610.60</v>
      </c>
      <c r="F30" s="46" t="str">
        <f t="shared" si="3"/>
        <v>0.07</v>
      </c>
      <c r="G30" s="12" t="str">
        <f>C.Resultado!D30</f>
        <v>0.56</v>
      </c>
      <c r="H30" s="47" t="str">
        <f t="shared" si="17"/>
        <v>0.00</v>
      </c>
      <c r="I30" s="12" t="str">
        <f>C.Resultado!E30</f>
        <v>2,327.00</v>
      </c>
      <c r="J30" s="48" t="str">
        <f t="shared" si="5"/>
        <v>0.86</v>
      </c>
      <c r="K30" s="12" t="str">
        <f>C.Resultado!F30</f>
        <v>249.88</v>
      </c>
      <c r="L30" s="48" t="str">
        <f t="shared" si="6"/>
        <v>0.09</v>
      </c>
      <c r="M30" s="12" t="str">
        <f>C.Resultado!G30</f>
        <v>24.36</v>
      </c>
      <c r="N30" s="48" t="str">
        <f t="shared" si="7"/>
        <v>0.01</v>
      </c>
      <c r="O30" s="12" t="str">
        <f>C.Resultado!H30</f>
        <v>0.00</v>
      </c>
      <c r="P30" s="48" t="str">
        <f t="shared" si="8"/>
        <v>0.00</v>
      </c>
      <c r="Q30" s="12" t="str">
        <f>C.Resultado!I30</f>
        <v>8.80</v>
      </c>
      <c r="R30" s="55" t="str">
        <f t="shared" si="14"/>
        <v>0.00</v>
      </c>
      <c r="S30" s="12" t="str">
        <f>C.Resultado!J30</f>
        <v>0.00</v>
      </c>
      <c r="T30" s="48" t="str">
        <f t="shared" si="10"/>
        <v>0.00</v>
      </c>
      <c r="U30" s="12" t="str">
        <f>C.Resultado!K30</f>
        <v>0.00</v>
      </c>
      <c r="V30" s="48" t="str">
        <f t="shared" si="15"/>
        <v>0.00</v>
      </c>
      <c r="W30" s="12" t="str">
        <f>C.Resultado!L30</f>
        <v>0.00</v>
      </c>
      <c r="X30" s="48" t="str">
        <f t="shared" si="11"/>
        <v>0.00</v>
      </c>
      <c r="Y30" s="12" t="str">
        <f>C.Resultado!M30</f>
        <v>0.00</v>
      </c>
      <c r="Z30" s="48" t="str">
        <f t="shared" si="12"/>
        <v>0.00</v>
      </c>
      <c r="AA30" s="12" t="str">
        <f>C.Resultado!N30</f>
        <v>14.28</v>
      </c>
      <c r="AB30" s="12" t="str">
        <f t="shared" si="13"/>
        <v>0.01</v>
      </c>
      <c r="AC30" s="14">
        <v>0.0</v>
      </c>
      <c r="AD30" s="14">
        <v>2601.8</v>
      </c>
      <c r="AE30" s="5"/>
    </row>
    <row r="31" ht="10.5" customHeight="1">
      <c r="A31" s="5"/>
      <c r="B31" s="6" t="s">
        <v>56</v>
      </c>
      <c r="C31" s="54" t="str">
        <f>'C. Resultado 2024'!P33</f>
        <v>158,647.54</v>
      </c>
      <c r="D31" s="45" t="str">
        <f t="shared" si="1"/>
        <v>4.02</v>
      </c>
      <c r="E31" s="12" t="str">
        <f t="shared" si="20"/>
        <v>65,356.30</v>
      </c>
      <c r="F31" s="46" t="str">
        <f t="shared" si="3"/>
        <v>1.65</v>
      </c>
      <c r="G31" s="12" t="str">
        <f>C.Resultado!D31</f>
        <v>-4,497.79</v>
      </c>
      <c r="H31" s="47" t="str">
        <f t="shared" si="17"/>
        <v>1.90</v>
      </c>
      <c r="I31" s="12" t="str">
        <f>C.Resultado!E31</f>
        <v>7,294.66</v>
      </c>
      <c r="J31" s="48" t="str">
        <f t="shared" si="5"/>
        <v>2.69</v>
      </c>
      <c r="K31" s="12" t="str">
        <f>C.Resultado!F31</f>
        <v>-1,844.02</v>
      </c>
      <c r="L31" s="48" t="str">
        <f t="shared" si="6"/>
        <v>-0.66</v>
      </c>
      <c r="M31" s="12" t="str">
        <f>C.Resultado!G31</f>
        <v>41,798.69</v>
      </c>
      <c r="N31" s="48" t="str">
        <f t="shared" si="7"/>
        <v>9.45</v>
      </c>
      <c r="O31" s="12" t="str">
        <f>C.Resultado!H31</f>
        <v>46,342.11</v>
      </c>
      <c r="P31" s="48" t="str">
        <f t="shared" si="8"/>
        <v>11.57</v>
      </c>
      <c r="Q31" s="12" t="str">
        <f>C.Resultado!I31</f>
        <v>-66,335.04</v>
      </c>
      <c r="R31" s="55" t="str">
        <f t="shared" si="14"/>
        <v>-15.34</v>
      </c>
      <c r="S31" s="12" t="str">
        <f>C.Resultado!J31</f>
        <v>42,597.69</v>
      </c>
      <c r="T31" s="48" t="str">
        <f t="shared" si="10"/>
        <v>8.10</v>
      </c>
      <c r="U31" s="12" t="str">
        <f>C.Resultado!K31</f>
        <v>109,935.24</v>
      </c>
      <c r="V31" s="48" t="str">
        <f t="shared" si="15"/>
        <v>18.69</v>
      </c>
      <c r="W31" s="12" t="str">
        <f>C.Resultado!L31</f>
        <v>41,210.10</v>
      </c>
      <c r="X31" s="48" t="str">
        <f t="shared" si="11"/>
        <v>10.39</v>
      </c>
      <c r="Y31" s="12" t="str">
        <f>C.Resultado!M31</f>
        <v>17,375.72</v>
      </c>
      <c r="Z31" s="48" t="str">
        <f t="shared" si="12"/>
        <v>4.44</v>
      </c>
      <c r="AA31" s="12" t="str">
        <f>C.Resultado!N31</f>
        <v>81,289.76</v>
      </c>
      <c r="AB31" s="12" t="str">
        <f t="shared" si="13"/>
        <v>35.50</v>
      </c>
      <c r="AC31" s="15">
        <v>-2394.21</v>
      </c>
      <c r="AD31" s="15">
        <v>78792.37</v>
      </c>
      <c r="AE31" s="5"/>
    </row>
    <row r="32" ht="10.5" customHeight="1">
      <c r="A32" s="35"/>
      <c r="B32" s="57" t="s">
        <v>44</v>
      </c>
      <c r="C32" s="58" t="str">
        <f>'C. Resultado 2024'!P34</f>
        <v>-21,772.38</v>
      </c>
      <c r="D32" s="45" t="str">
        <f t="shared" si="1"/>
        <v>-0.55</v>
      </c>
      <c r="E32" s="53" t="str">
        <f>G32+I32+K32+M32+O32+Q32+S32+U32+W32+Y32</f>
        <v>-14,745.03</v>
      </c>
      <c r="F32" s="40" t="str">
        <f t="shared" si="3"/>
        <v>-0.37</v>
      </c>
      <c r="G32" s="39" t="str">
        <f>C.Resultado!D32</f>
        <v>-1,688.26</v>
      </c>
      <c r="H32" s="41" t="str">
        <f t="shared" si="17"/>
        <v>0.71</v>
      </c>
      <c r="I32" s="39" t="str">
        <f>C.Resultado!E32</f>
        <v>-1,555.87</v>
      </c>
      <c r="J32" s="39" t="str">
        <f t="shared" si="5"/>
        <v>-0.57</v>
      </c>
      <c r="K32" s="39" t="str">
        <f>C.Resultado!F32</f>
        <v>-2,281.25</v>
      </c>
      <c r="L32" s="39" t="str">
        <f t="shared" si="6"/>
        <v>-0.81</v>
      </c>
      <c r="M32" s="39" t="str">
        <f>C.Resultado!G32</f>
        <v>-1,367.09</v>
      </c>
      <c r="N32" s="39" t="str">
        <f t="shared" si="7"/>
        <v>-0.31</v>
      </c>
      <c r="O32" s="39" t="str">
        <f>C.Resultado!H32</f>
        <v>-1,053.89</v>
      </c>
      <c r="P32" s="39" t="str">
        <f t="shared" si="8"/>
        <v>-0.26</v>
      </c>
      <c r="Q32" s="39" t="str">
        <f>C.Resultado!I32</f>
        <v>-1,332.34</v>
      </c>
      <c r="R32" s="39" t="str">
        <f t="shared" si="14"/>
        <v>-0.31</v>
      </c>
      <c r="S32" s="39" t="str">
        <f>C.Resultado!J32</f>
        <v>-1,262.74</v>
      </c>
      <c r="T32" s="53" t="str">
        <f t="shared" si="10"/>
        <v>-0.24</v>
      </c>
      <c r="U32" s="39" t="str">
        <f>C.Resultado!K32</f>
        <v>-1,423.79</v>
      </c>
      <c r="V32" s="53" t="str">
        <f t="shared" si="15"/>
        <v>-0.24</v>
      </c>
      <c r="W32" s="39" t="str">
        <f>C.Resultado!L32</f>
        <v>-1,072.63</v>
      </c>
      <c r="X32" s="53" t="str">
        <f t="shared" si="11"/>
        <v>-0.27</v>
      </c>
      <c r="Y32" s="39" t="str">
        <f>C.Resultado!M32</f>
        <v>-1,707.17</v>
      </c>
      <c r="Z32" s="53" t="str">
        <f t="shared" si="12"/>
        <v>-0.44</v>
      </c>
      <c r="AA32" s="39" t="str">
        <f>C.Resultado!N32</f>
        <v>17,519.89</v>
      </c>
      <c r="AB32" s="39" t="str">
        <f t="shared" si="13"/>
        <v>7.65</v>
      </c>
      <c r="AC32" s="39">
        <v>0.0</v>
      </c>
      <c r="AD32" s="39">
        <v>-7407.09</v>
      </c>
      <c r="AE32" s="35"/>
    </row>
    <row r="33" ht="10.5" customHeight="1">
      <c r="A33" s="5"/>
      <c r="B33" s="49" t="s">
        <v>45</v>
      </c>
      <c r="C33" s="54" t="str">
        <f>'C. Resultado 2024'!P34</f>
        <v>-21,772.38</v>
      </c>
      <c r="D33" s="45" t="str">
        <f t="shared" si="1"/>
        <v>-0.55</v>
      </c>
      <c r="E33" s="12" t="str">
        <f t="shared" ref="E33:E35" si="21">G33+I33+K33+M33+O33+Q33+S33</f>
        <v>-5,801.21</v>
      </c>
      <c r="F33" s="46" t="str">
        <f t="shared" si="3"/>
        <v>-0.15</v>
      </c>
      <c r="G33" s="12" t="str">
        <f>C.Resultado!D33</f>
        <v>0.00</v>
      </c>
      <c r="H33" s="47" t="str">
        <f t="shared" si="17"/>
        <v>0.00</v>
      </c>
      <c r="I33" s="12" t="str">
        <f>C.Resultado!E33</f>
        <v>-66.16</v>
      </c>
      <c r="J33" s="48" t="str">
        <f t="shared" si="5"/>
        <v>-0.02</v>
      </c>
      <c r="K33" s="12" t="str">
        <f>C.Resultado!F33</f>
        <v>-1,922.39</v>
      </c>
      <c r="L33" s="48" t="str">
        <f t="shared" si="6"/>
        <v>-0.68</v>
      </c>
      <c r="M33" s="12" t="str">
        <f>C.Resultado!G33</f>
        <v>-1,083.74</v>
      </c>
      <c r="N33" s="48" t="str">
        <f t="shared" si="7"/>
        <v>-0.25</v>
      </c>
      <c r="O33" s="12" t="str">
        <f>C.Resultado!H33</f>
        <v>-773.99</v>
      </c>
      <c r="P33" s="48" t="str">
        <f t="shared" si="8"/>
        <v>-0.19</v>
      </c>
      <c r="Q33" s="12" t="str">
        <f>C.Resultado!I33</f>
        <v>-1,045.46</v>
      </c>
      <c r="R33" s="55" t="str">
        <f t="shared" si="14"/>
        <v>-0.24</v>
      </c>
      <c r="S33" s="12" t="str">
        <f>C.Resultado!J33</f>
        <v>-909.47</v>
      </c>
      <c r="T33" s="48" t="str">
        <f t="shared" si="10"/>
        <v>-0.17</v>
      </c>
      <c r="U33" s="12" t="str">
        <f>C.Resultado!K33</f>
        <v>-1,004.64</v>
      </c>
      <c r="V33" s="48" t="str">
        <f t="shared" si="15"/>
        <v>-0.17</v>
      </c>
      <c r="W33" s="12" t="str">
        <f>C.Resultado!L33</f>
        <v>-851.96</v>
      </c>
      <c r="X33" s="48" t="str">
        <f t="shared" si="11"/>
        <v>-0.21</v>
      </c>
      <c r="Y33" s="12" t="str">
        <f>C.Resultado!M33</f>
        <v>-1,220.75</v>
      </c>
      <c r="Z33" s="48" t="str">
        <f t="shared" si="12"/>
        <v>-0.31</v>
      </c>
      <c r="AA33" s="12" t="str">
        <f>C.Resultado!N33</f>
        <v>17,837.86</v>
      </c>
      <c r="AB33" s="12" t="str">
        <f t="shared" si="13"/>
        <v>7.79</v>
      </c>
      <c r="AC33" s="14">
        <v>0.0</v>
      </c>
      <c r="AD33" s="14">
        <v>-3328.01</v>
      </c>
      <c r="AE33" s="5"/>
    </row>
    <row r="34" ht="10.5" customHeight="1">
      <c r="A34" s="5"/>
      <c r="B34" s="49" t="s">
        <v>46</v>
      </c>
      <c r="C34" s="54"/>
      <c r="D34" s="45" t="str">
        <f t="shared" si="1"/>
        <v>0.00</v>
      </c>
      <c r="E34" s="12" t="str">
        <f t="shared" si="21"/>
        <v>-4,740.23</v>
      </c>
      <c r="F34" s="46" t="str">
        <f t="shared" si="3"/>
        <v>-0.12</v>
      </c>
      <c r="G34" s="12" t="str">
        <f>C.Resultado!D34</f>
        <v>-1,688.26</v>
      </c>
      <c r="H34" s="47" t="str">
        <f t="shared" si="17"/>
        <v>0.71</v>
      </c>
      <c r="I34" s="12" t="str">
        <f>C.Resultado!E34</f>
        <v>-1,489.71</v>
      </c>
      <c r="J34" s="48" t="str">
        <f t="shared" si="5"/>
        <v>-0.55</v>
      </c>
      <c r="K34" s="12" t="str">
        <f>C.Resultado!F34</f>
        <v>-358.86</v>
      </c>
      <c r="L34" s="48" t="str">
        <f t="shared" si="6"/>
        <v>-0.13</v>
      </c>
      <c r="M34" s="12" t="str">
        <f>C.Resultado!G34</f>
        <v>-283.35</v>
      </c>
      <c r="N34" s="48" t="str">
        <f t="shared" si="7"/>
        <v>-0.06</v>
      </c>
      <c r="O34" s="12" t="str">
        <f>C.Resultado!H34</f>
        <v>-279.90</v>
      </c>
      <c r="P34" s="48" t="str">
        <f t="shared" si="8"/>
        <v>-0.07</v>
      </c>
      <c r="Q34" s="12" t="str">
        <f>C.Resultado!I34</f>
        <v>-286.88</v>
      </c>
      <c r="R34" s="55" t="str">
        <f t="shared" si="14"/>
        <v>-0.07</v>
      </c>
      <c r="S34" s="12" t="str">
        <f>C.Resultado!J34</f>
        <v>-353.27</v>
      </c>
      <c r="T34" s="48" t="str">
        <f t="shared" si="10"/>
        <v>-0.07</v>
      </c>
      <c r="U34" s="12" t="str">
        <f>C.Resultado!K34</f>
        <v>-419.15</v>
      </c>
      <c r="V34" s="48" t="str">
        <f t="shared" si="15"/>
        <v>-0.07</v>
      </c>
      <c r="W34" s="12" t="str">
        <f>C.Resultado!L34</f>
        <v>-220.67</v>
      </c>
      <c r="X34" s="48" t="str">
        <f t="shared" si="11"/>
        <v>-0.06</v>
      </c>
      <c r="Y34" s="12" t="str">
        <f>C.Resultado!M34</f>
        <v>-486.42</v>
      </c>
      <c r="Z34" s="48" t="str">
        <f t="shared" si="12"/>
        <v>-0.12</v>
      </c>
      <c r="AA34" s="12" t="str">
        <f>C.Resultado!N34</f>
        <v>-317.97</v>
      </c>
      <c r="AB34" s="12" t="str">
        <f t="shared" si="13"/>
        <v>-0.14</v>
      </c>
      <c r="AC34" s="14">
        <v>0.0</v>
      </c>
      <c r="AD34" s="14">
        <v>-4079.08</v>
      </c>
      <c r="AE34" s="5"/>
    </row>
    <row r="35" ht="10.5" customHeight="1">
      <c r="A35" s="5"/>
      <c r="B35" s="6" t="s">
        <v>47</v>
      </c>
      <c r="C35" s="54" t="str">
        <f>'C. Resultado 2024'!P36</f>
        <v>-21,772.38</v>
      </c>
      <c r="D35" s="45" t="str">
        <f t="shared" si="1"/>
        <v>-0.55</v>
      </c>
      <c r="E35" s="12" t="str">
        <f t="shared" si="21"/>
        <v>-10,541.44</v>
      </c>
      <c r="F35" s="46" t="str">
        <f t="shared" si="3"/>
        <v>-0.27</v>
      </c>
      <c r="G35" s="12" t="str">
        <f>C.Resultado!D35</f>
        <v>-1,688.26</v>
      </c>
      <c r="H35" s="47" t="str">
        <f t="shared" si="17"/>
        <v>0.71</v>
      </c>
      <c r="I35" s="12" t="str">
        <f>C.Resultado!E35</f>
        <v>-1,555.87</v>
      </c>
      <c r="J35" s="48" t="str">
        <f t="shared" si="5"/>
        <v>-0.57</v>
      </c>
      <c r="K35" s="12" t="str">
        <f>C.Resultado!F35</f>
        <v>-2,281.25</v>
      </c>
      <c r="L35" s="48" t="str">
        <f t="shared" si="6"/>
        <v>-0.81</v>
      </c>
      <c r="M35" s="12" t="str">
        <f>C.Resultado!G35</f>
        <v>-1,367.09</v>
      </c>
      <c r="N35" s="48" t="str">
        <f t="shared" si="7"/>
        <v>-0.31</v>
      </c>
      <c r="O35" s="12" t="str">
        <f>C.Resultado!H35</f>
        <v>-1,053.89</v>
      </c>
      <c r="P35" s="48" t="str">
        <f t="shared" si="8"/>
        <v>-0.26</v>
      </c>
      <c r="Q35" s="12" t="str">
        <f>C.Resultado!I35</f>
        <v>-1,332.34</v>
      </c>
      <c r="R35" s="55" t="str">
        <f t="shared" si="14"/>
        <v>-0.31</v>
      </c>
      <c r="S35" s="12" t="str">
        <f>C.Resultado!J35</f>
        <v>-1,262.74</v>
      </c>
      <c r="T35" s="48" t="str">
        <f t="shared" si="10"/>
        <v>-0.24</v>
      </c>
      <c r="U35" s="12" t="str">
        <f>C.Resultado!K35</f>
        <v>-1,423.79</v>
      </c>
      <c r="V35" s="48" t="str">
        <f t="shared" si="15"/>
        <v>-0.24</v>
      </c>
      <c r="W35" s="12" t="str">
        <f>C.Resultado!L35</f>
        <v>-1,072.63</v>
      </c>
      <c r="X35" s="48" t="str">
        <f t="shared" si="11"/>
        <v>-0.27</v>
      </c>
      <c r="Y35" s="12" t="str">
        <f>C.Resultado!M35</f>
        <v>-1,707.17</v>
      </c>
      <c r="Z35" s="48" t="str">
        <f t="shared" si="12"/>
        <v>-0.44</v>
      </c>
      <c r="AA35" s="12" t="str">
        <f>C.Resultado!N35</f>
        <v>17,519.89</v>
      </c>
      <c r="AB35" s="12" t="str">
        <f t="shared" si="13"/>
        <v>7.65</v>
      </c>
      <c r="AC35" s="15">
        <v>0.0</v>
      </c>
      <c r="AD35" s="15">
        <v>-7407.09</v>
      </c>
      <c r="AE35" s="5"/>
    </row>
    <row r="36" ht="10.5" customHeight="1">
      <c r="A36" s="5"/>
      <c r="B36" s="6" t="s">
        <v>48</v>
      </c>
      <c r="C36" s="44" t="str">
        <f>'C. Resultado 2024'!P37</f>
        <v>136,875.16</v>
      </c>
      <c r="D36" s="45" t="str">
        <f t="shared" si="1"/>
        <v>3.47</v>
      </c>
      <c r="E36" s="12" t="str">
        <f>G36+I36+K36+M36+O36+Q36+S36+W36+Y36+U36</f>
        <v>219,132.33</v>
      </c>
      <c r="F36" s="46" t="str">
        <f t="shared" si="3"/>
        <v>5.53</v>
      </c>
      <c r="G36" s="12" t="str">
        <f>C.Resultado!D36</f>
        <v>-6,186.05</v>
      </c>
      <c r="H36" s="47" t="str">
        <f t="shared" si="17"/>
        <v>2.62</v>
      </c>
      <c r="I36" s="12" t="str">
        <f>C.Resultado!E36</f>
        <v>5,738.79</v>
      </c>
      <c r="J36" s="48" t="str">
        <f t="shared" si="5"/>
        <v>2.12</v>
      </c>
      <c r="K36" s="12" t="str">
        <f>C.Resultado!F36</f>
        <v>-4,125.27</v>
      </c>
      <c r="L36" s="48" t="str">
        <f t="shared" si="6"/>
        <v>-1.47</v>
      </c>
      <c r="M36" s="12" t="str">
        <f>C.Resultado!G36</f>
        <v>40,431.60</v>
      </c>
      <c r="N36" s="48" t="str">
        <f t="shared" si="7"/>
        <v>9.14</v>
      </c>
      <c r="O36" s="12" t="str">
        <f>C.Resultado!H36</f>
        <v>45,288.22</v>
      </c>
      <c r="P36" s="48" t="str">
        <f t="shared" si="8"/>
        <v>11.31</v>
      </c>
      <c r="Q36" s="12" t="str">
        <f>C.Resultado!I36</f>
        <v>-67,667.38</v>
      </c>
      <c r="R36" s="55" t="str">
        <f t="shared" si="14"/>
        <v>-15.65</v>
      </c>
      <c r="S36" s="12" t="str">
        <f>C.Resultado!J36</f>
        <v>41,334.95</v>
      </c>
      <c r="T36" s="48" t="str">
        <f t="shared" si="10"/>
        <v>7.86</v>
      </c>
      <c r="U36" s="12" t="str">
        <f>C.Resultado!K36</f>
        <v>108,511.45</v>
      </c>
      <c r="V36" s="48" t="str">
        <f t="shared" si="15"/>
        <v>18.45</v>
      </c>
      <c r="W36" s="12" t="str">
        <f>C.Resultado!L36</f>
        <v>40,137.47</v>
      </c>
      <c r="X36" s="48" t="str">
        <f t="shared" si="11"/>
        <v>10.12</v>
      </c>
      <c r="Y36" s="12" t="str">
        <f>C.Resultado!M36</f>
        <v>15,668.55</v>
      </c>
      <c r="Z36" s="48" t="str">
        <f t="shared" si="12"/>
        <v>4.00</v>
      </c>
      <c r="AA36" s="12" t="str">
        <f>C.Resultado!N36</f>
        <v>98,809.65</v>
      </c>
      <c r="AB36" s="12" t="str">
        <f t="shared" si="13"/>
        <v>43.16</v>
      </c>
      <c r="AC36" s="15"/>
      <c r="AD36" s="15">
        <v>71385.28</v>
      </c>
      <c r="AE36" s="5"/>
    </row>
    <row r="37" ht="10.5" customHeight="1">
      <c r="A37" s="35"/>
      <c r="B37" s="50" t="s">
        <v>49</v>
      </c>
      <c r="C37" s="59" t="str">
        <f>'C. Resultado 2024'!P37</f>
        <v>136,875.16</v>
      </c>
      <c r="D37" s="45" t="str">
        <f t="shared" si="1"/>
        <v>3.47</v>
      </c>
      <c r="E37" s="60" t="str">
        <f>G37+I37+K37+M37+O37+Q37+S37+U37+W37+Y37</f>
        <v>219,132.33</v>
      </c>
      <c r="F37" s="61" t="str">
        <f t="shared" si="3"/>
        <v>5.53</v>
      </c>
      <c r="G37" s="53" t="str">
        <f>C.Resultado!D37</f>
        <v>-6,186.05</v>
      </c>
      <c r="H37" s="41" t="str">
        <f t="shared" si="17"/>
        <v>2.62</v>
      </c>
      <c r="I37" s="53" t="str">
        <f>C.Resultado!E37</f>
        <v>5,738.79</v>
      </c>
      <c r="J37" s="39" t="str">
        <f t="shared" si="5"/>
        <v>2.12</v>
      </c>
      <c r="K37" s="53" t="str">
        <f>C.Resultado!F37</f>
        <v>-4,125.27</v>
      </c>
      <c r="L37" s="39" t="str">
        <f t="shared" si="6"/>
        <v>-1.47</v>
      </c>
      <c r="M37" s="53" t="str">
        <f>C.Resultado!G37</f>
        <v>40,431.60</v>
      </c>
      <c r="N37" s="39" t="str">
        <f t="shared" si="7"/>
        <v>9.14</v>
      </c>
      <c r="O37" s="53" t="str">
        <f>C.Resultado!H37</f>
        <v>45,288.22</v>
      </c>
      <c r="P37" s="39" t="str">
        <f t="shared" si="8"/>
        <v>11.31</v>
      </c>
      <c r="Q37" s="53" t="str">
        <f>C.Resultado!I37</f>
        <v>-67,667.38</v>
      </c>
      <c r="R37" s="39"/>
      <c r="S37" s="53" t="str">
        <f>C.Resultado!J37</f>
        <v>41,334.95</v>
      </c>
      <c r="T37" s="39" t="str">
        <f t="shared" si="10"/>
        <v>7.86</v>
      </c>
      <c r="U37" s="53" t="str">
        <f>C.Resultado!K37</f>
        <v>108,511.45</v>
      </c>
      <c r="V37" s="53" t="str">
        <f t="shared" si="15"/>
        <v>18.45</v>
      </c>
      <c r="W37" s="53" t="str">
        <f>C.Resultado!L37</f>
        <v>40,137.47</v>
      </c>
      <c r="X37" s="53" t="str">
        <f t="shared" si="11"/>
        <v>10.12</v>
      </c>
      <c r="Y37" s="53" t="str">
        <f>C.Resultado!M37</f>
        <v>15,668.55</v>
      </c>
      <c r="Z37" s="53" t="str">
        <f t="shared" si="12"/>
        <v>4.00</v>
      </c>
      <c r="AA37" s="39" t="str">
        <f>C.Resultado!N37</f>
        <v>98,809.65</v>
      </c>
      <c r="AB37" s="39" t="str">
        <f t="shared" si="13"/>
        <v>43.16</v>
      </c>
      <c r="AC37" s="53"/>
      <c r="AD37" s="53">
        <v>71385.28</v>
      </c>
      <c r="AE37" s="35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mergeCells count="4">
    <mergeCell ref="A1:AE1"/>
    <mergeCell ref="A2:AE2"/>
    <mergeCell ref="A3:AE3"/>
    <mergeCell ref="B5:AE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10.0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4" width="13.57"/>
    <col customWidth="1" min="5" max="5" width="14.86"/>
    <col customWidth="1" min="6" max="6" width="10.0"/>
    <col customWidth="1" min="7" max="7" width="12.29"/>
    <col customWidth="1" min="8" max="17" width="10.0"/>
  </cols>
  <sheetData>
    <row r="1" ht="12.0" customHeight="1"/>
    <row r="2" ht="12.0" customHeight="1"/>
    <row r="3" ht="12.75" customHeight="1">
      <c r="C3" s="62" t="s">
        <v>57</v>
      </c>
      <c r="D3" s="62"/>
    </row>
    <row r="4" ht="18.0" customHeight="1">
      <c r="E4" s="63" t="s">
        <v>5</v>
      </c>
      <c r="F4" s="63" t="s">
        <v>6</v>
      </c>
      <c r="G4" s="63" t="s">
        <v>7</v>
      </c>
      <c r="H4" s="63" t="s">
        <v>8</v>
      </c>
      <c r="I4" s="63" t="s">
        <v>9</v>
      </c>
      <c r="J4" s="63" t="s">
        <v>10</v>
      </c>
      <c r="K4" s="63" t="s">
        <v>11</v>
      </c>
      <c r="L4" s="63" t="s">
        <v>12</v>
      </c>
      <c r="M4" s="63" t="s">
        <v>13</v>
      </c>
      <c r="N4" s="63" t="s">
        <v>14</v>
      </c>
      <c r="O4" s="63" t="s">
        <v>15</v>
      </c>
      <c r="P4" s="63" t="s">
        <v>16</v>
      </c>
      <c r="Q4" s="63" t="s">
        <v>17</v>
      </c>
    </row>
    <row r="5" ht="12.0" customHeight="1"/>
    <row r="6" ht="12.75" customHeight="1">
      <c r="D6" s="62" t="s">
        <v>58</v>
      </c>
      <c r="E6" s="64" t="str">
        <f>C.Resultado!D11+C.Resultado!D15+C.Resultado!D26+C.Resultado!D32</f>
        <v>-48,913.82</v>
      </c>
      <c r="F6" s="64" t="str">
        <f>C.Resultado!E11+C.Resultado!E15+C.Resultado!E26+C.Resultado!E32</f>
        <v>-54,717.35</v>
      </c>
      <c r="G6" s="64" t="str">
        <f>C.Resultado!F11+C.Resultado!F15+C.Resultado!F26+C.Resultado!F32</f>
        <v>-65,689.81</v>
      </c>
      <c r="H6" s="64" t="str">
        <f>C.Resultado!G11+C.Resultado!G15+C.Resultado!G26+C.Resultado!G32</f>
        <v>-53,618.67</v>
      </c>
      <c r="I6" s="64" t="str">
        <f>C.Resultado!H11+C.Resultado!H15+C.Resultado!H26+C.Resultado!H32</f>
        <v>-54,347.28</v>
      </c>
      <c r="J6" s="64" t="str">
        <f>C.Resultado!I11+C.Resultado!I15+C.Resultado!I26+C.Resultado!I32</f>
        <v>-54,871.53</v>
      </c>
      <c r="K6" s="64" t="str">
        <f>C.Resultado!J11+C.Resultado!J15+C.Resultado!J26+C.Resultado!J32</f>
        <v>-57,685.28</v>
      </c>
      <c r="L6" s="64" t="str">
        <f>C.Resultado!K8+C.Resultado!K11+C.Resultado!K15+C.Resultado!K26+C.Resultado!K32</f>
        <v>-479,626.56</v>
      </c>
      <c r="M6" s="64" t="str">
        <f>C.Resultado!L8+C.Resultado!L11+C.Resultado!L15+C.Resultado!L26+C.Resultado!L32</f>
        <v>-356,499.25</v>
      </c>
      <c r="N6" s="64" t="str">
        <f>C.Resultado!M8+C.Resultado!M11+C.Resultado!M15+C.Resultado!M26+C.Resultado!M32</f>
        <v>-375,573.26</v>
      </c>
      <c r="O6" s="64" t="str">
        <f>C.Resultado!N8+C.Resultado!N11+C.Resultado!N15+C.Resultado!N26+C.Resultado!N32</f>
        <v>-130,160.41</v>
      </c>
      <c r="P6" s="64" t="str">
        <f>C.Resultado!O8+C.Resultado!O11+C.Resultado!O15+C.Resultado!O26+C.Resultado!O32</f>
        <v>-2,520.42</v>
      </c>
      <c r="Q6" s="64" t="str">
        <f>C.Resultado!P8+C.Resultado!P11+C.Resultado!P15+C.Resultado!P26+C.Resultado!P32</f>
        <v>-3,880,824.46</v>
      </c>
    </row>
    <row r="7" ht="12.75" customHeight="1">
      <c r="D7" s="65"/>
    </row>
    <row r="8" ht="12.75" customHeight="1">
      <c r="D8" s="62" t="s">
        <v>59</v>
      </c>
      <c r="E8" s="66" t="str">
        <f>'Explotacion comparativa '!F8/100+1</f>
        <v>0.19</v>
      </c>
      <c r="F8" s="66" t="str">
        <f>'Explotacion comparativa '!H8/100+1</f>
        <v>0.18</v>
      </c>
      <c r="G8" s="66" t="str">
        <f>'Explotacion comparativa '!J8/100+1</f>
        <v>0.21</v>
      </c>
      <c r="H8" s="66" t="str">
        <f>'Explotacion comparativa '!N8/100+1</f>
        <v>0.21</v>
      </c>
      <c r="I8" s="66">
        <v>0.2</v>
      </c>
      <c r="J8" s="66">
        <v>0.19</v>
      </c>
      <c r="K8" s="66">
        <v>0.19</v>
      </c>
      <c r="L8" s="66"/>
      <c r="M8" s="66"/>
      <c r="N8" s="66"/>
      <c r="O8" s="66"/>
      <c r="P8" s="66"/>
      <c r="Q8" s="66"/>
    </row>
    <row r="9" ht="12.75" customHeight="1">
      <c r="D9" s="65"/>
    </row>
    <row r="10" ht="12.75" customHeight="1">
      <c r="D10" s="65"/>
    </row>
    <row r="11" ht="12.75" customHeight="1">
      <c r="D11" s="62" t="s">
        <v>60</v>
      </c>
      <c r="E11" s="67" t="str">
        <f t="shared" ref="E11:Q11" si="1">-E6/E8</f>
        <v>253289.4257</v>
      </c>
      <c r="F11" s="67" t="str">
        <f t="shared" si="1"/>
        <v>302415.4943</v>
      </c>
      <c r="G11" s="67" t="str">
        <f t="shared" si="1"/>
        <v>306103.1434</v>
      </c>
      <c r="H11" s="67" t="str">
        <f t="shared" si="1"/>
        <v>252192.9294</v>
      </c>
      <c r="I11" s="67" t="str">
        <f t="shared" si="1"/>
        <v>271736.4</v>
      </c>
      <c r="J11" s="67" t="str">
        <f t="shared" si="1"/>
        <v>288797.5263</v>
      </c>
      <c r="K11" s="67" t="str">
        <f t="shared" si="1"/>
        <v>303606.7368</v>
      </c>
      <c r="L11" s="67" t="str">
        <f t="shared" si="1"/>
        <v>#DIV/0!</v>
      </c>
      <c r="M11" s="67" t="str">
        <f t="shared" si="1"/>
        <v>#DIV/0!</v>
      </c>
      <c r="N11" s="67" t="str">
        <f t="shared" si="1"/>
        <v>#DIV/0!</v>
      </c>
      <c r="O11" s="67" t="str">
        <f t="shared" si="1"/>
        <v>#DIV/0!</v>
      </c>
      <c r="P11" s="67" t="str">
        <f t="shared" si="1"/>
        <v>#DIV/0!</v>
      </c>
      <c r="Q11" s="67" t="str">
        <f t="shared" si="1"/>
        <v>#DIV/0!</v>
      </c>
    </row>
    <row r="12" ht="12.0" customHeight="1"/>
    <row r="13" ht="12.75" customHeight="1">
      <c r="D13" s="68" t="s">
        <v>61</v>
      </c>
      <c r="E13" s="68" t="str">
        <f>SUM(E11:K11)</f>
        <v>1978141.656</v>
      </c>
    </row>
    <row r="14" ht="12.0" customHeight="1"/>
    <row r="15" ht="15.0" customHeight="1">
      <c r="D15" s="69" t="s">
        <v>62</v>
      </c>
      <c r="E15" s="69" t="str">
        <f>SUM(E11:K11)/7</f>
        <v>282591.6651</v>
      </c>
    </row>
    <row r="16" ht="12.0" customHeight="1"/>
    <row r="17" ht="12.0" customHeight="1"/>
    <row r="18" ht="12.75" customHeight="1">
      <c r="D18" s="70" t="s">
        <v>63</v>
      </c>
      <c r="E18" s="71" t="str">
        <f>C.Resultado!D6</f>
        <v>236,147.59</v>
      </c>
      <c r="F18" s="71" t="str">
        <f>C.Resultado!E6</f>
        <v>270,871.73</v>
      </c>
      <c r="G18" s="71" t="str">
        <f>C.Resultado!F6</f>
        <v>280,949.94</v>
      </c>
      <c r="H18" s="72" t="str">
        <f>C.Resultado!G6</f>
        <v>442,246.51</v>
      </c>
      <c r="I18" s="72" t="str">
        <f>C.Resultado!H6</f>
        <v>400,365.89</v>
      </c>
      <c r="J18" s="72" t="str">
        <f>C.Resultado!I6</f>
        <v>432,347.77</v>
      </c>
      <c r="K18" s="72" t="str">
        <f>C.Resultado!J6</f>
        <v>525,719.39</v>
      </c>
    </row>
    <row r="19" ht="12.0" customHeight="1"/>
    <row r="20" ht="12.0" customHeight="1"/>
    <row r="21" ht="12.0" customHeight="1">
      <c r="D21" s="73" t="s">
        <v>61</v>
      </c>
      <c r="E21" s="64" t="str">
        <f>SUM(E18:K18)</f>
        <v>2,588,648.82</v>
      </c>
    </row>
    <row r="22" ht="12.0" customHeight="1"/>
    <row r="23" ht="12.0" customHeight="1"/>
    <row r="24" ht="12.75" customHeight="1">
      <c r="D24" s="68" t="s">
        <v>62</v>
      </c>
      <c r="E24" s="68" t="str">
        <f>E21/7</f>
        <v>369806.9743</v>
      </c>
    </row>
    <row r="25" ht="12.0" customHeight="1"/>
    <row r="26" ht="12.0" customHeight="1"/>
    <row r="27" ht="12.0" customHeight="1"/>
    <row r="28" ht="12.75" customHeight="1">
      <c r="D28" s="68" t="s">
        <v>64</v>
      </c>
      <c r="E28" s="68" t="str">
        <f>E24-E15</f>
        <v>87215.30915</v>
      </c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7.43"/>
    <col customWidth="1" min="3" max="3" width="4.29"/>
    <col customWidth="1" min="4" max="15" width="10.29"/>
    <col customWidth="1" min="16" max="16" width="11.71"/>
    <col customWidth="1" min="17" max="17" width="0.57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5.0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0.5" customHeight="1">
      <c r="A4" s="5"/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5"/>
    </row>
    <row r="5" ht="0.75" customHeight="1">
      <c r="A5" s="5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0"/>
    </row>
    <row r="6" ht="10.5" customHeight="1">
      <c r="A6" s="5"/>
      <c r="B6" s="11" t="s">
        <v>18</v>
      </c>
      <c r="C6" s="12">
        <v>0.0</v>
      </c>
      <c r="D6" s="12" t="str">
        <f>C.Resultado!D6-'C. Resultado 2024'!D6</f>
        <v>28,898.22</v>
      </c>
      <c r="E6" s="12" t="str">
        <f>C.Resultado!E6-'C. Resultado 2024'!E6</f>
        <v>30,163.80</v>
      </c>
      <c r="F6" s="12" t="str">
        <f>C.Resultado!F6-'C. Resultado 2024'!F6</f>
        <v>12,714.85</v>
      </c>
      <c r="G6" s="12" t="str">
        <f>C.Resultado!G6-'C. Resultado 2024'!G6</f>
        <v>71,393.34</v>
      </c>
      <c r="H6" s="12" t="str">
        <f>C.Resultado!H6-'C. Resultado 2024'!H6</f>
        <v>49,627.93</v>
      </c>
      <c r="I6" s="12" t="str">
        <f>C.Resultado!I6-'C. Resultado 2024'!I6</f>
        <v>94,777.24</v>
      </c>
      <c r="J6" s="12" t="str">
        <f>C.Resultado!J6-'C. Resultado 2024'!J6</f>
        <v>67,217.28</v>
      </c>
      <c r="K6" s="12" t="str">
        <f>C.Resultado!K6-'C. Resultado 2024'!K6</f>
        <v>75,112.04</v>
      </c>
      <c r="L6" s="12" t="str">
        <f>C.Resultado!L6-'C. Resultado 2024'!L6</f>
        <v>101,651.62</v>
      </c>
      <c r="M6" s="12" t="str">
        <f>C.Resultado!M6-'C. Resultado 2024'!M6</f>
        <v>15,565.88</v>
      </c>
      <c r="N6" s="12" t="str">
        <f>C.Resultado!N6-'C. Resultado 2024'!N6</f>
        <v>-4,079.92</v>
      </c>
      <c r="O6" s="12" t="str">
        <f>C.Resultado!O6-'C. Resultado 2024'!O6</f>
        <v>-293,557.36</v>
      </c>
      <c r="P6" s="12">
        <v>3944136.22</v>
      </c>
      <c r="Q6" s="5"/>
    </row>
    <row r="7" ht="10.5" customHeight="1">
      <c r="A7" s="5"/>
      <c r="B7" s="13" t="s">
        <v>19</v>
      </c>
      <c r="C7" s="14">
        <v>0.0</v>
      </c>
      <c r="D7" s="14">
        <v>207249.37</v>
      </c>
      <c r="E7" s="14">
        <v>240707.93</v>
      </c>
      <c r="F7" s="14">
        <v>268235.09</v>
      </c>
      <c r="G7" s="14">
        <v>370853.17</v>
      </c>
      <c r="H7" s="14">
        <v>350737.96</v>
      </c>
      <c r="I7" s="14">
        <v>337570.53</v>
      </c>
      <c r="J7" s="14">
        <v>458502.11</v>
      </c>
      <c r="K7" s="14">
        <v>513025.97</v>
      </c>
      <c r="L7" s="14">
        <v>294985.1</v>
      </c>
      <c r="M7" s="14">
        <v>375675.93</v>
      </c>
      <c r="N7" s="14">
        <v>233035.7</v>
      </c>
      <c r="O7" s="14">
        <v>293557.36</v>
      </c>
      <c r="P7" s="14">
        <v>3944136.22</v>
      </c>
      <c r="Q7" s="5"/>
    </row>
    <row r="8" ht="10.5" customHeight="1">
      <c r="A8" s="5"/>
      <c r="B8" s="11" t="s">
        <v>20</v>
      </c>
      <c r="C8" s="12">
        <v>0.0</v>
      </c>
      <c r="D8" s="12">
        <v>-115095.11</v>
      </c>
      <c r="E8" s="12">
        <v>-179494.72</v>
      </c>
      <c r="F8" s="12">
        <v>-252151.52</v>
      </c>
      <c r="G8" s="12">
        <v>-271281.64</v>
      </c>
      <c r="H8" s="12">
        <v>-251635.33</v>
      </c>
      <c r="I8" s="12">
        <v>-268086.57</v>
      </c>
      <c r="J8" s="12">
        <v>-393758.94</v>
      </c>
      <c r="K8" s="12">
        <v>-327500.69</v>
      </c>
      <c r="L8" s="12">
        <v>-247662.09</v>
      </c>
      <c r="M8" s="12">
        <v>-322565.56</v>
      </c>
      <c r="N8" s="12">
        <v>-222541.54</v>
      </c>
      <c r="O8" s="12">
        <v>-363753.19</v>
      </c>
      <c r="P8" s="12">
        <v>-3215526.9</v>
      </c>
      <c r="Q8" s="5"/>
    </row>
    <row r="9" ht="10.5" customHeight="1">
      <c r="A9" s="5"/>
      <c r="B9" s="13" t="s">
        <v>21</v>
      </c>
      <c r="C9" s="14">
        <v>0.0</v>
      </c>
      <c r="D9" s="14">
        <v>-168504.7</v>
      </c>
      <c r="E9" s="14">
        <v>-218465.36</v>
      </c>
      <c r="F9" s="14">
        <v>-234765.57</v>
      </c>
      <c r="G9" s="14">
        <v>-266066.33</v>
      </c>
      <c r="H9" s="14">
        <v>-262580.39</v>
      </c>
      <c r="I9" s="14">
        <v>-237918.21</v>
      </c>
      <c r="J9" s="14">
        <v>-463623.55</v>
      </c>
      <c r="K9" s="14">
        <v>-346852.22</v>
      </c>
      <c r="L9" s="14">
        <v>-221335.09</v>
      </c>
      <c r="M9" s="14">
        <v>-312936.6</v>
      </c>
      <c r="N9" s="14">
        <v>-206623.78</v>
      </c>
      <c r="O9" s="14">
        <v>-223612.21</v>
      </c>
      <c r="P9" s="14">
        <v>-3163284.01</v>
      </c>
      <c r="Q9" s="5"/>
    </row>
    <row r="10" ht="10.5" customHeight="1">
      <c r="A10" s="5"/>
      <c r="B10" s="13" t="s">
        <v>50</v>
      </c>
      <c r="C10" s="14">
        <v>0.0</v>
      </c>
      <c r="D10" s="14">
        <v>-1590.41</v>
      </c>
      <c r="E10" s="14">
        <v>-1029.36</v>
      </c>
      <c r="F10" s="14">
        <v>-385.95</v>
      </c>
      <c r="G10" s="14">
        <v>-1215.31</v>
      </c>
      <c r="H10" s="14">
        <v>-54.94</v>
      </c>
      <c r="I10" s="14">
        <v>-168.36</v>
      </c>
      <c r="J10" s="14">
        <v>-135.39</v>
      </c>
      <c r="K10" s="14">
        <v>-648.47</v>
      </c>
      <c r="L10" s="14">
        <v>-327.0</v>
      </c>
      <c r="M10" s="14">
        <v>-628.96</v>
      </c>
      <c r="N10" s="14">
        <v>-917.76</v>
      </c>
      <c r="O10" s="14">
        <v>-140.98</v>
      </c>
      <c r="P10" s="14">
        <v>-7242.89</v>
      </c>
      <c r="Q10" s="5"/>
    </row>
    <row r="11" ht="10.5" customHeight="1">
      <c r="A11" s="5"/>
      <c r="B11" s="13" t="s">
        <v>22</v>
      </c>
      <c r="C11" s="14">
        <v>0.0</v>
      </c>
      <c r="D11" s="14">
        <v>55000.0</v>
      </c>
      <c r="E11" s="14">
        <v>40000.0</v>
      </c>
      <c r="F11" s="14">
        <v>-17000.0</v>
      </c>
      <c r="G11" s="14">
        <v>-4000.0</v>
      </c>
      <c r="H11" s="14">
        <v>11000.0</v>
      </c>
      <c r="I11" s="14">
        <v>-30000.0</v>
      </c>
      <c r="J11" s="14">
        <v>70000.0</v>
      </c>
      <c r="K11" s="14">
        <v>20000.0</v>
      </c>
      <c r="L11" s="14">
        <v>-26000.0</v>
      </c>
      <c r="M11" s="14">
        <v>-9000.0</v>
      </c>
      <c r="N11" s="14">
        <v>-15000.0</v>
      </c>
      <c r="O11" s="14">
        <v>-140000.0</v>
      </c>
      <c r="P11" s="14">
        <v>-45000.0</v>
      </c>
      <c r="Q11" s="5"/>
    </row>
    <row r="12" ht="10.5" customHeight="1">
      <c r="A12" s="5"/>
      <c r="B12" s="11" t="s">
        <v>23</v>
      </c>
      <c r="C12" s="12">
        <v>0.0</v>
      </c>
      <c r="D12" s="12">
        <v>-20725.13</v>
      </c>
      <c r="E12" s="12">
        <v>-21472.61</v>
      </c>
      <c r="F12" s="12">
        <v>-21719.09</v>
      </c>
      <c r="G12" s="12">
        <v>-23695.43</v>
      </c>
      <c r="H12" s="12">
        <v>-25324.26</v>
      </c>
      <c r="I12" s="12">
        <v>-24818.24</v>
      </c>
      <c r="J12" s="12">
        <v>-24830.93</v>
      </c>
      <c r="K12" s="12">
        <v>-25782.23</v>
      </c>
      <c r="L12" s="12">
        <v>-25983.03</v>
      </c>
      <c r="M12" s="12">
        <v>-27892.75</v>
      </c>
      <c r="N12" s="12">
        <v>-26239.81</v>
      </c>
      <c r="O12" s="12">
        <v>-27086.17</v>
      </c>
      <c r="P12" s="12">
        <v>-295569.68</v>
      </c>
      <c r="Q12" s="5"/>
    </row>
    <row r="13" ht="10.5" customHeight="1">
      <c r="A13" s="5"/>
      <c r="B13" s="13" t="s">
        <v>24</v>
      </c>
      <c r="C13" s="14">
        <v>0.0</v>
      </c>
      <c r="D13" s="14">
        <v>-16781.39</v>
      </c>
      <c r="E13" s="14">
        <v>-17489.83</v>
      </c>
      <c r="F13" s="14">
        <v>-17264.92</v>
      </c>
      <c r="G13" s="14">
        <v>-18806.5</v>
      </c>
      <c r="H13" s="14">
        <v>-20329.72</v>
      </c>
      <c r="I13" s="14">
        <v>-20179.63</v>
      </c>
      <c r="J13" s="14">
        <v>-20491.93</v>
      </c>
      <c r="K13" s="14">
        <v>-21212.32</v>
      </c>
      <c r="L13" s="14">
        <v>-21459.48</v>
      </c>
      <c r="M13" s="14">
        <v>-21630.94</v>
      </c>
      <c r="N13" s="14">
        <v>-21043.14</v>
      </c>
      <c r="O13" s="14">
        <v>-21661.72</v>
      </c>
      <c r="P13" s="14">
        <v>-238351.52</v>
      </c>
      <c r="Q13" s="5"/>
    </row>
    <row r="14" ht="10.5" customHeight="1">
      <c r="A14" s="5"/>
      <c r="B14" s="13" t="s">
        <v>51</v>
      </c>
      <c r="C14" s="14">
        <v>0.0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-915.18</v>
      </c>
      <c r="N14" s="14">
        <v>0.0</v>
      </c>
      <c r="O14" s="14">
        <v>0.0</v>
      </c>
      <c r="P14" s="14">
        <v>-915.18</v>
      </c>
      <c r="Q14" s="5"/>
    </row>
    <row r="15" ht="10.5" customHeight="1">
      <c r="A15" s="5"/>
      <c r="B15" s="13" t="s">
        <v>25</v>
      </c>
      <c r="C15" s="14">
        <v>0.0</v>
      </c>
      <c r="D15" s="14">
        <v>-3943.74</v>
      </c>
      <c r="E15" s="14">
        <v>-3982.78</v>
      </c>
      <c r="F15" s="14">
        <v>-4454.17</v>
      </c>
      <c r="G15" s="14">
        <v>-4888.93</v>
      </c>
      <c r="H15" s="14">
        <v>-4994.54</v>
      </c>
      <c r="I15" s="14">
        <v>-4638.61</v>
      </c>
      <c r="J15" s="14">
        <v>-4339.0</v>
      </c>
      <c r="K15" s="14">
        <v>-4569.91</v>
      </c>
      <c r="L15" s="14">
        <v>-4523.55</v>
      </c>
      <c r="M15" s="14">
        <v>-5346.63</v>
      </c>
      <c r="N15" s="14">
        <v>-5196.67</v>
      </c>
      <c r="O15" s="14">
        <v>-5424.45</v>
      </c>
      <c r="P15" s="14">
        <v>-56302.98</v>
      </c>
      <c r="Q15" s="5"/>
    </row>
    <row r="16" ht="10.5" customHeight="1">
      <c r="A16" s="5"/>
      <c r="B16" s="11" t="s">
        <v>27</v>
      </c>
      <c r="C16" s="12">
        <v>0.0</v>
      </c>
      <c r="D16" s="12">
        <v>-20037.43</v>
      </c>
      <c r="E16" s="12">
        <v>-13245.75</v>
      </c>
      <c r="F16" s="12">
        <v>-17371.4</v>
      </c>
      <c r="G16" s="12">
        <v>-17775.15</v>
      </c>
      <c r="H16" s="12">
        <v>-17996.37</v>
      </c>
      <c r="I16" s="12">
        <v>-14925.92</v>
      </c>
      <c r="J16" s="12">
        <v>-27395.05</v>
      </c>
      <c r="K16" s="12">
        <v>-17588.89</v>
      </c>
      <c r="L16" s="12">
        <v>-15606.73</v>
      </c>
      <c r="M16" s="12">
        <v>-29568.96</v>
      </c>
      <c r="N16" s="12">
        <v>-15467.15</v>
      </c>
      <c r="O16" s="12">
        <v>-28994.66</v>
      </c>
      <c r="P16" s="12">
        <v>-235973.46</v>
      </c>
      <c r="Q16" s="5"/>
    </row>
    <row r="17" ht="10.5" customHeight="1">
      <c r="A17" s="5"/>
      <c r="B17" s="13" t="s">
        <v>28</v>
      </c>
      <c r="C17" s="14">
        <v>0.0</v>
      </c>
      <c r="D17" s="14">
        <v>-3310.1</v>
      </c>
      <c r="E17" s="14">
        <v>-3310.1</v>
      </c>
      <c r="F17" s="14">
        <v>-3310.1</v>
      </c>
      <c r="G17" s="14">
        <v>-2728.42</v>
      </c>
      <c r="H17" s="14">
        <v>-4013.35</v>
      </c>
      <c r="I17" s="14">
        <v>-3330.0</v>
      </c>
      <c r="J17" s="14">
        <v>-3330.0</v>
      </c>
      <c r="K17" s="14">
        <v>-3330.0</v>
      </c>
      <c r="L17" s="14">
        <v>-3330.0</v>
      </c>
      <c r="M17" s="14">
        <v>-3330.0</v>
      </c>
      <c r="N17" s="14">
        <v>-3330.0</v>
      </c>
      <c r="O17" s="14">
        <v>-3330.0</v>
      </c>
      <c r="P17" s="14">
        <v>-39982.07</v>
      </c>
      <c r="Q17" s="5"/>
    </row>
    <row r="18" ht="10.5" customHeight="1">
      <c r="A18" s="5"/>
      <c r="B18" s="13" t="s">
        <v>29</v>
      </c>
      <c r="C18" s="14">
        <v>0.0</v>
      </c>
      <c r="D18" s="14">
        <v>-6135.98</v>
      </c>
      <c r="E18" s="14">
        <v>-1078.57</v>
      </c>
      <c r="F18" s="14">
        <v>-3285.57</v>
      </c>
      <c r="G18" s="14">
        <v>-2012.37</v>
      </c>
      <c r="H18" s="14">
        <v>-1780.22</v>
      </c>
      <c r="I18" s="14">
        <v>-5209.1</v>
      </c>
      <c r="J18" s="14">
        <v>-6790.77</v>
      </c>
      <c r="K18" s="14">
        <v>-871.0</v>
      </c>
      <c r="L18" s="14">
        <v>-1991.99</v>
      </c>
      <c r="M18" s="14">
        <v>-3530.12</v>
      </c>
      <c r="N18" s="14">
        <v>-2435.98</v>
      </c>
      <c r="O18" s="14">
        <v>-12262.7</v>
      </c>
      <c r="P18" s="14">
        <v>-47384.37</v>
      </c>
      <c r="Q18" s="5"/>
    </row>
    <row r="19" ht="10.5" customHeight="1">
      <c r="A19" s="5"/>
      <c r="B19" s="13" t="s">
        <v>30</v>
      </c>
      <c r="C19" s="14">
        <v>0.0</v>
      </c>
      <c r="D19" s="14">
        <v>-1010.0</v>
      </c>
      <c r="E19" s="14">
        <v>-1110.0</v>
      </c>
      <c r="F19" s="14">
        <v>-1096.06</v>
      </c>
      <c r="G19" s="14">
        <v>-1056.0</v>
      </c>
      <c r="H19" s="14">
        <v>-1113.66</v>
      </c>
      <c r="I19" s="14">
        <v>-930.0</v>
      </c>
      <c r="J19" s="14">
        <v>-940.0</v>
      </c>
      <c r="K19" s="14">
        <v>-1216.71</v>
      </c>
      <c r="L19" s="14">
        <v>-990.0</v>
      </c>
      <c r="M19" s="14">
        <v>-990.0</v>
      </c>
      <c r="N19" s="14">
        <v>-990.0</v>
      </c>
      <c r="O19" s="14">
        <v>-1252.03</v>
      </c>
      <c r="P19" s="14">
        <v>-12694.46</v>
      </c>
      <c r="Q19" s="5"/>
    </row>
    <row r="20" ht="10.5" customHeight="1">
      <c r="A20" s="5"/>
      <c r="B20" s="13" t="s">
        <v>31</v>
      </c>
      <c r="C20" s="14">
        <v>0.0</v>
      </c>
      <c r="D20" s="14">
        <v>-1538.97</v>
      </c>
      <c r="E20" s="14">
        <v>-1667.8</v>
      </c>
      <c r="F20" s="14">
        <v>-1221.03</v>
      </c>
      <c r="G20" s="14">
        <v>-37.6</v>
      </c>
      <c r="H20" s="14">
        <v>-1458.41</v>
      </c>
      <c r="I20" s="14">
        <v>0.0</v>
      </c>
      <c r="J20" s="14">
        <v>-3274.88</v>
      </c>
      <c r="K20" s="14">
        <v>-1341.56</v>
      </c>
      <c r="L20" s="14">
        <v>-1579.24</v>
      </c>
      <c r="M20" s="14">
        <v>-2728.17</v>
      </c>
      <c r="N20" s="14">
        <v>-975.08</v>
      </c>
      <c r="O20" s="14">
        <v>-1610.34</v>
      </c>
      <c r="P20" s="14">
        <v>-17433.08</v>
      </c>
      <c r="Q20" s="5"/>
    </row>
    <row r="21" ht="10.5" customHeight="1">
      <c r="A21" s="5"/>
      <c r="B21" s="13" t="s">
        <v>32</v>
      </c>
      <c r="C21" s="14">
        <v>0.0</v>
      </c>
      <c r="D21" s="14">
        <v>-1623.53</v>
      </c>
      <c r="E21" s="14">
        <v>-77.27</v>
      </c>
      <c r="F21" s="14">
        <v>-987.1</v>
      </c>
      <c r="G21" s="14">
        <v>-3264.82</v>
      </c>
      <c r="H21" s="14">
        <v>-54.02</v>
      </c>
      <c r="I21" s="14">
        <v>-54.02</v>
      </c>
      <c r="J21" s="14">
        <v>-1630.79</v>
      </c>
      <c r="K21" s="14">
        <v>-54.02</v>
      </c>
      <c r="L21" s="14">
        <v>-407.99</v>
      </c>
      <c r="M21" s="14">
        <v>-2867.16</v>
      </c>
      <c r="N21" s="14">
        <v>-54.02</v>
      </c>
      <c r="O21" s="14">
        <v>-1334.4</v>
      </c>
      <c r="P21" s="14">
        <v>-12409.14</v>
      </c>
      <c r="Q21" s="5"/>
    </row>
    <row r="22" ht="10.5" customHeight="1">
      <c r="A22" s="5"/>
      <c r="B22" s="13" t="s">
        <v>33</v>
      </c>
      <c r="C22" s="14">
        <v>0.0</v>
      </c>
      <c r="D22" s="14">
        <v>-739.74</v>
      </c>
      <c r="E22" s="14">
        <v>-567.97</v>
      </c>
      <c r="F22" s="14">
        <v>-1156.19</v>
      </c>
      <c r="G22" s="14">
        <v>-288.14</v>
      </c>
      <c r="H22" s="14">
        <v>-539.04</v>
      </c>
      <c r="I22" s="14">
        <v>-227.63</v>
      </c>
      <c r="J22" s="14">
        <v>-331.43</v>
      </c>
      <c r="K22" s="14">
        <v>-364.06</v>
      </c>
      <c r="L22" s="14">
        <v>-174.54</v>
      </c>
      <c r="M22" s="14">
        <v>-1438.67</v>
      </c>
      <c r="N22" s="14">
        <v>-234.07</v>
      </c>
      <c r="O22" s="14">
        <v>-1183.43</v>
      </c>
      <c r="P22" s="14">
        <v>-7244.91</v>
      </c>
      <c r="Q22" s="5"/>
    </row>
    <row r="23" ht="10.5" customHeight="1">
      <c r="A23" s="5"/>
      <c r="B23" s="13" t="s">
        <v>34</v>
      </c>
      <c r="C23" s="14">
        <v>0.0</v>
      </c>
      <c r="D23" s="14">
        <v>-195.0</v>
      </c>
      <c r="E23" s="14">
        <v>-282.0</v>
      </c>
      <c r="F23" s="14">
        <v>-773.8</v>
      </c>
      <c r="G23" s="14">
        <v>-195.0</v>
      </c>
      <c r="H23" s="14">
        <v>-1816.2</v>
      </c>
      <c r="I23" s="14">
        <v>-620.0</v>
      </c>
      <c r="J23" s="14">
        <v>-1019.0</v>
      </c>
      <c r="K23" s="14">
        <v>-332.0</v>
      </c>
      <c r="L23" s="14">
        <v>-195.0</v>
      </c>
      <c r="M23" s="14">
        <v>-195.0</v>
      </c>
      <c r="N23" s="14">
        <v>-765.88</v>
      </c>
      <c r="O23" s="14">
        <v>-195.0</v>
      </c>
      <c r="P23" s="14">
        <v>-6583.88</v>
      </c>
      <c r="Q23" s="5"/>
    </row>
    <row r="24" ht="10.5" customHeight="1">
      <c r="A24" s="5"/>
      <c r="B24" s="13" t="s">
        <v>35</v>
      </c>
      <c r="C24" s="14">
        <v>0.0</v>
      </c>
      <c r="D24" s="14">
        <v>-3818.19</v>
      </c>
      <c r="E24" s="14">
        <v>-4376.93</v>
      </c>
      <c r="F24" s="14">
        <v>-3001.24</v>
      </c>
      <c r="G24" s="14">
        <v>-5975.12</v>
      </c>
      <c r="H24" s="14">
        <v>-3907.97</v>
      </c>
      <c r="I24" s="14">
        <v>-1602.79</v>
      </c>
      <c r="J24" s="14">
        <v>-6514.35</v>
      </c>
      <c r="K24" s="14">
        <v>-6264.8</v>
      </c>
      <c r="L24" s="14">
        <v>-5219.63</v>
      </c>
      <c r="M24" s="14">
        <v>-8965.26</v>
      </c>
      <c r="N24" s="14">
        <v>-4690.67</v>
      </c>
      <c r="O24" s="14">
        <v>-5075.62</v>
      </c>
      <c r="P24" s="14">
        <v>-59412.57</v>
      </c>
      <c r="Q24" s="5"/>
    </row>
    <row r="25" ht="10.5" customHeight="1">
      <c r="A25" s="5"/>
      <c r="B25" s="13" t="s">
        <v>36</v>
      </c>
      <c r="C25" s="14">
        <v>0.0</v>
      </c>
      <c r="D25" s="14">
        <v>-1665.92</v>
      </c>
      <c r="E25" s="14">
        <v>-775.11</v>
      </c>
      <c r="F25" s="14">
        <v>-2540.31</v>
      </c>
      <c r="G25" s="14">
        <v>-2217.68</v>
      </c>
      <c r="H25" s="14">
        <v>-2934.81</v>
      </c>
      <c r="I25" s="14">
        <v>-2323.14</v>
      </c>
      <c r="J25" s="14">
        <v>-3144.29</v>
      </c>
      <c r="K25" s="14">
        <v>-3395.2</v>
      </c>
      <c r="L25" s="14">
        <v>-1298.8</v>
      </c>
      <c r="M25" s="14">
        <v>-3767.57</v>
      </c>
      <c r="N25" s="14">
        <v>-1571.91</v>
      </c>
      <c r="O25" s="14">
        <v>-2331.6</v>
      </c>
      <c r="P25" s="14">
        <v>-27966.34</v>
      </c>
      <c r="Q25" s="5"/>
    </row>
    <row r="26" ht="10.5" customHeight="1">
      <c r="A26" s="5"/>
      <c r="B26" s="13" t="s">
        <v>37</v>
      </c>
      <c r="C26" s="14">
        <v>0.0</v>
      </c>
      <c r="D26" s="14">
        <v>0.0</v>
      </c>
      <c r="E26" s="14">
        <v>0.0</v>
      </c>
      <c r="F26" s="14">
        <v>0.0</v>
      </c>
      <c r="G26" s="14">
        <v>0.0</v>
      </c>
      <c r="H26" s="14">
        <v>-378.69</v>
      </c>
      <c r="I26" s="14">
        <v>-629.24</v>
      </c>
      <c r="J26" s="14">
        <v>-419.54</v>
      </c>
      <c r="K26" s="14">
        <v>-419.54</v>
      </c>
      <c r="L26" s="14">
        <v>-419.54</v>
      </c>
      <c r="M26" s="14">
        <v>-1757.01</v>
      </c>
      <c r="N26" s="14">
        <v>-419.54</v>
      </c>
      <c r="O26" s="14">
        <v>-419.54</v>
      </c>
      <c r="P26" s="14">
        <v>-4862.64</v>
      </c>
      <c r="Q26" s="5"/>
    </row>
    <row r="27" ht="10.5" customHeight="1">
      <c r="A27" s="5"/>
      <c r="B27" s="11" t="s">
        <v>38</v>
      </c>
      <c r="C27" s="12">
        <v>0.0</v>
      </c>
      <c r="D27" s="12">
        <v>-1797.47</v>
      </c>
      <c r="E27" s="12">
        <v>-1743.86</v>
      </c>
      <c r="F27" s="12">
        <v>-1979.28</v>
      </c>
      <c r="G27" s="12">
        <v>-2144.8</v>
      </c>
      <c r="H27" s="12">
        <v>-2257.17</v>
      </c>
      <c r="I27" s="12">
        <v>-2584.41</v>
      </c>
      <c r="J27" s="12">
        <v>-2687.29</v>
      </c>
      <c r="K27" s="12">
        <v>-2687.26</v>
      </c>
      <c r="L27" s="12">
        <v>-2600.57</v>
      </c>
      <c r="M27" s="12">
        <v>-2749.65</v>
      </c>
      <c r="N27" s="12">
        <v>-2660.88</v>
      </c>
      <c r="O27" s="12">
        <v>-2733.28</v>
      </c>
      <c r="P27" s="12">
        <v>-28625.92</v>
      </c>
      <c r="Q27" s="5"/>
    </row>
    <row r="28" ht="10.5" customHeight="1">
      <c r="A28" s="5"/>
      <c r="B28" s="13" t="s">
        <v>39</v>
      </c>
      <c r="C28" s="14">
        <v>0.0</v>
      </c>
      <c r="D28" s="14">
        <v>-335.11</v>
      </c>
      <c r="E28" s="14">
        <v>-323.94</v>
      </c>
      <c r="F28" s="14">
        <v>-346.28</v>
      </c>
      <c r="G28" s="14">
        <v>-416.15</v>
      </c>
      <c r="H28" s="14">
        <v>-432.92</v>
      </c>
      <c r="I28" s="14">
        <v>-424.23</v>
      </c>
      <c r="J28" s="14">
        <v>-449.28</v>
      </c>
      <c r="K28" s="14">
        <v>-449.27</v>
      </c>
      <c r="L28" s="14">
        <v>-434.78</v>
      </c>
      <c r="M28" s="14">
        <v>-449.28</v>
      </c>
      <c r="N28" s="14">
        <v>-434.78</v>
      </c>
      <c r="O28" s="14">
        <v>-432.92</v>
      </c>
      <c r="P28" s="14">
        <v>-4928.94</v>
      </c>
      <c r="Q28" s="5"/>
    </row>
    <row r="29" ht="10.5" customHeight="1">
      <c r="A29" s="5"/>
      <c r="B29" s="13" t="s">
        <v>40</v>
      </c>
      <c r="C29" s="14">
        <v>0.0</v>
      </c>
      <c r="D29" s="14">
        <v>-1462.36</v>
      </c>
      <c r="E29" s="14">
        <v>-1419.92</v>
      </c>
      <c r="F29" s="14">
        <v>-1633.0</v>
      </c>
      <c r="G29" s="14">
        <v>-1728.65</v>
      </c>
      <c r="H29" s="14">
        <v>-1824.25</v>
      </c>
      <c r="I29" s="14">
        <v>-2160.18</v>
      </c>
      <c r="J29" s="14">
        <v>-2238.01</v>
      </c>
      <c r="K29" s="14">
        <v>-2237.99</v>
      </c>
      <c r="L29" s="14">
        <v>-2165.79</v>
      </c>
      <c r="M29" s="14">
        <v>-2300.37</v>
      </c>
      <c r="N29" s="14">
        <v>-2226.1</v>
      </c>
      <c r="O29" s="14">
        <v>-2300.36</v>
      </c>
      <c r="P29" s="14">
        <v>-23696.98</v>
      </c>
      <c r="Q29" s="5"/>
    </row>
    <row r="30" ht="10.5" customHeight="1">
      <c r="A30" s="5"/>
      <c r="B30" s="11" t="s">
        <v>41</v>
      </c>
      <c r="C30" s="12">
        <v>0.0</v>
      </c>
      <c r="D30" s="12">
        <v>1.96</v>
      </c>
      <c r="E30" s="12">
        <v>0.11</v>
      </c>
      <c r="F30" s="12">
        <v>1.26</v>
      </c>
      <c r="G30" s="12">
        <v>33.43</v>
      </c>
      <c r="H30" s="12">
        <v>-10523.6</v>
      </c>
      <c r="I30" s="12">
        <v>675.98</v>
      </c>
      <c r="J30" s="12">
        <v>0.22</v>
      </c>
      <c r="K30" s="12">
        <v>3.35</v>
      </c>
      <c r="L30" s="12">
        <v>0.1</v>
      </c>
      <c r="M30" s="12">
        <v>0.69</v>
      </c>
      <c r="N30" s="12">
        <v>13.46</v>
      </c>
      <c r="O30" s="12">
        <v>0.32</v>
      </c>
      <c r="P30" s="12">
        <v>-9792.72</v>
      </c>
      <c r="Q30" s="5"/>
    </row>
    <row r="31" ht="10.5" customHeight="1">
      <c r="A31" s="5"/>
      <c r="B31" s="13" t="s">
        <v>52</v>
      </c>
      <c r="C31" s="14">
        <v>0.0</v>
      </c>
      <c r="D31" s="14">
        <v>0.0</v>
      </c>
      <c r="E31" s="14">
        <v>0.0</v>
      </c>
      <c r="F31" s="14">
        <v>0.0</v>
      </c>
      <c r="G31" s="14">
        <v>0.0</v>
      </c>
      <c r="H31" s="14">
        <v>-10523.69</v>
      </c>
      <c r="I31" s="14">
        <v>668.65</v>
      </c>
      <c r="J31" s="14">
        <v>0.0</v>
      </c>
      <c r="K31" s="14">
        <v>0.0</v>
      </c>
      <c r="L31" s="14">
        <v>0.0</v>
      </c>
      <c r="M31" s="14">
        <v>0.0</v>
      </c>
      <c r="N31" s="14">
        <v>0.0</v>
      </c>
      <c r="O31" s="14">
        <v>0.0</v>
      </c>
      <c r="P31" s="14">
        <v>-9855.04</v>
      </c>
      <c r="Q31" s="5"/>
    </row>
    <row r="32" ht="10.5" customHeight="1">
      <c r="A32" s="5"/>
      <c r="B32" s="13" t="s">
        <v>42</v>
      </c>
      <c r="C32" s="14">
        <v>0.0</v>
      </c>
      <c r="D32" s="14">
        <v>1.96</v>
      </c>
      <c r="E32" s="14">
        <v>0.11</v>
      </c>
      <c r="F32" s="14">
        <v>1.26</v>
      </c>
      <c r="G32" s="14">
        <v>33.43</v>
      </c>
      <c r="H32" s="14">
        <v>0.09</v>
      </c>
      <c r="I32" s="14">
        <v>7.33</v>
      </c>
      <c r="J32" s="14">
        <v>0.22</v>
      </c>
      <c r="K32" s="14">
        <v>3.35</v>
      </c>
      <c r="L32" s="14">
        <v>0.1</v>
      </c>
      <c r="M32" s="14">
        <v>0.69</v>
      </c>
      <c r="N32" s="14">
        <v>13.46</v>
      </c>
      <c r="O32" s="14">
        <v>0.32</v>
      </c>
      <c r="P32" s="14">
        <v>62.32</v>
      </c>
      <c r="Q32" s="5"/>
    </row>
    <row r="33" ht="10.5" customHeight="1">
      <c r="A33" s="5"/>
      <c r="B33" s="6" t="s">
        <v>43</v>
      </c>
      <c r="C33" s="15">
        <v>0.0</v>
      </c>
      <c r="D33" s="15">
        <v>49596.19</v>
      </c>
      <c r="E33" s="15">
        <v>24751.1</v>
      </c>
      <c r="F33" s="15">
        <v>-24984.94</v>
      </c>
      <c r="G33" s="15">
        <v>55989.58</v>
      </c>
      <c r="H33" s="15">
        <v>43001.23</v>
      </c>
      <c r="I33" s="15">
        <v>27831.37</v>
      </c>
      <c r="J33" s="15">
        <v>9830.12</v>
      </c>
      <c r="K33" s="15">
        <v>139470.25</v>
      </c>
      <c r="L33" s="15">
        <v>3132.78</v>
      </c>
      <c r="M33" s="15">
        <v>-7100.3</v>
      </c>
      <c r="N33" s="15">
        <v>-33860.22</v>
      </c>
      <c r="O33" s="15">
        <v>-129009.62</v>
      </c>
      <c r="P33" s="15">
        <v>158647.54</v>
      </c>
      <c r="Q33" s="5"/>
    </row>
    <row r="34" ht="10.5" customHeight="1">
      <c r="A34" s="5"/>
      <c r="B34" s="11" t="s">
        <v>44</v>
      </c>
      <c r="C34" s="12">
        <v>0.0</v>
      </c>
      <c r="D34" s="12">
        <v>-2420.65</v>
      </c>
      <c r="E34" s="12">
        <v>-1100.38</v>
      </c>
      <c r="F34" s="12">
        <v>-1199.16</v>
      </c>
      <c r="G34" s="12">
        <v>-2843.62</v>
      </c>
      <c r="H34" s="12">
        <v>-1372.0</v>
      </c>
      <c r="I34" s="12">
        <v>-2660.13</v>
      </c>
      <c r="J34" s="12">
        <v>-1882.12</v>
      </c>
      <c r="K34" s="12">
        <v>-1494.26</v>
      </c>
      <c r="L34" s="12">
        <v>-1283.52</v>
      </c>
      <c r="M34" s="12">
        <v>-2964.11</v>
      </c>
      <c r="N34" s="12">
        <v>-1255.48</v>
      </c>
      <c r="O34" s="12">
        <v>-1296.95</v>
      </c>
      <c r="P34" s="12">
        <v>-21772.38</v>
      </c>
      <c r="Q34" s="5"/>
    </row>
    <row r="35" ht="10.5" customHeight="1">
      <c r="A35" s="5"/>
      <c r="B35" s="13" t="s">
        <v>46</v>
      </c>
      <c r="C35" s="14">
        <v>0.0</v>
      </c>
      <c r="D35" s="14">
        <v>-2420.65</v>
      </c>
      <c r="E35" s="14">
        <v>-1100.38</v>
      </c>
      <c r="F35" s="14">
        <v>-1199.16</v>
      </c>
      <c r="G35" s="14">
        <v>-2843.62</v>
      </c>
      <c r="H35" s="14">
        <v>-1372.0</v>
      </c>
      <c r="I35" s="14">
        <v>-2660.13</v>
      </c>
      <c r="J35" s="14">
        <v>-1882.12</v>
      </c>
      <c r="K35" s="14">
        <v>-1494.26</v>
      </c>
      <c r="L35" s="14">
        <v>-1283.52</v>
      </c>
      <c r="M35" s="14">
        <v>-2964.11</v>
      </c>
      <c r="N35" s="14">
        <v>-1255.48</v>
      </c>
      <c r="O35" s="14">
        <v>-1296.95</v>
      </c>
      <c r="P35" s="14">
        <v>-21772.38</v>
      </c>
      <c r="Q35" s="5"/>
    </row>
    <row r="36" ht="10.5" customHeight="1">
      <c r="A36" s="5"/>
      <c r="B36" s="6" t="s">
        <v>47</v>
      </c>
      <c r="C36" s="15">
        <v>0.0</v>
      </c>
      <c r="D36" s="15">
        <v>-2420.65</v>
      </c>
      <c r="E36" s="15">
        <v>-1100.38</v>
      </c>
      <c r="F36" s="15">
        <v>-1199.16</v>
      </c>
      <c r="G36" s="15">
        <v>-2843.62</v>
      </c>
      <c r="H36" s="15">
        <v>-1372.0</v>
      </c>
      <c r="I36" s="15">
        <v>-2660.13</v>
      </c>
      <c r="J36" s="15">
        <v>-1882.12</v>
      </c>
      <c r="K36" s="15">
        <v>-1494.26</v>
      </c>
      <c r="L36" s="15">
        <v>-1283.52</v>
      </c>
      <c r="M36" s="15">
        <v>-2964.11</v>
      </c>
      <c r="N36" s="15">
        <v>-1255.48</v>
      </c>
      <c r="O36" s="15">
        <v>-1296.95</v>
      </c>
      <c r="P36" s="15">
        <v>-21772.38</v>
      </c>
      <c r="Q36" s="5"/>
    </row>
    <row r="37" ht="10.5" customHeight="1">
      <c r="A37" s="5"/>
      <c r="B37" s="6" t="s">
        <v>48</v>
      </c>
      <c r="C37" s="15">
        <v>0.0</v>
      </c>
      <c r="D37" s="15">
        <v>47175.54</v>
      </c>
      <c r="E37" s="15">
        <v>23650.72</v>
      </c>
      <c r="F37" s="15">
        <v>-26184.1</v>
      </c>
      <c r="G37" s="15">
        <v>53145.96</v>
      </c>
      <c r="H37" s="15">
        <v>41629.23</v>
      </c>
      <c r="I37" s="15">
        <v>25171.24</v>
      </c>
      <c r="J37" s="15">
        <v>7948.0</v>
      </c>
      <c r="K37" s="15">
        <v>137975.99</v>
      </c>
      <c r="L37" s="15">
        <v>1849.26</v>
      </c>
      <c r="M37" s="15">
        <v>-10064.41</v>
      </c>
      <c r="N37" s="15">
        <v>-35115.7</v>
      </c>
      <c r="O37" s="15">
        <v>-130306.57</v>
      </c>
      <c r="P37" s="15">
        <v>136875.16</v>
      </c>
      <c r="Q37" s="5"/>
    </row>
    <row r="38" ht="10.5" customHeight="1">
      <c r="A38" s="5"/>
      <c r="B38" s="11" t="s">
        <v>53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-34680.79</v>
      </c>
      <c r="P38" s="12">
        <v>-34680.79</v>
      </c>
      <c r="Q38" s="5"/>
    </row>
    <row r="39" ht="10.5" customHeight="1">
      <c r="A39" s="5"/>
      <c r="B39" s="13" t="s">
        <v>54</v>
      </c>
      <c r="C39" s="14">
        <v>0.0</v>
      </c>
      <c r="D39" s="14">
        <v>0.0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-34680.79</v>
      </c>
      <c r="P39" s="14">
        <v>-34680.79</v>
      </c>
      <c r="Q39" s="5"/>
    </row>
    <row r="40" ht="10.5" customHeight="1">
      <c r="A40" s="5"/>
      <c r="B40" s="6" t="s">
        <v>49</v>
      </c>
      <c r="C40" s="15">
        <v>0.0</v>
      </c>
      <c r="D40" s="15">
        <v>47175.54</v>
      </c>
      <c r="E40" s="15">
        <v>23650.72</v>
      </c>
      <c r="F40" s="15">
        <v>-26184.1</v>
      </c>
      <c r="G40" s="15">
        <v>53145.96</v>
      </c>
      <c r="H40" s="15">
        <v>41629.23</v>
      </c>
      <c r="I40" s="15">
        <v>25171.24</v>
      </c>
      <c r="J40" s="15">
        <v>7948.0</v>
      </c>
      <c r="K40" s="15">
        <v>137975.99</v>
      </c>
      <c r="L40" s="15">
        <v>1849.26</v>
      </c>
      <c r="M40" s="15">
        <v>-10064.41</v>
      </c>
      <c r="N40" s="15">
        <v>-35115.7</v>
      </c>
      <c r="O40" s="15">
        <v>-164987.36</v>
      </c>
      <c r="P40" s="15">
        <v>102194.37</v>
      </c>
      <c r="Q40" s="5"/>
    </row>
    <row r="41" ht="12.0" customHeight="1"/>
    <row r="42" ht="22.5" customHeight="1">
      <c r="A42" s="1" t="s">
        <v>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3"/>
    </row>
    <row r="43" ht="12.0" customHeight="1">
      <c r="A43" s="4" t="s">
        <v>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</row>
    <row r="44" ht="12.0" customHeight="1">
      <c r="A44" s="4" t="s">
        <v>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</row>
    <row r="45" ht="12.75" customHeight="1">
      <c r="A45" s="5"/>
      <c r="B45" s="6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7" t="s">
        <v>9</v>
      </c>
      <c r="I45" s="7" t="s">
        <v>10</v>
      </c>
      <c r="J45" s="7" t="s">
        <v>11</v>
      </c>
      <c r="K45" s="7" t="s">
        <v>12</v>
      </c>
      <c r="L45" s="7" t="s">
        <v>13</v>
      </c>
      <c r="M45" s="7" t="s">
        <v>14</v>
      </c>
      <c r="N45" s="7" t="s">
        <v>15</v>
      </c>
      <c r="O45" s="7" t="s">
        <v>16</v>
      </c>
      <c r="P45" s="7" t="s">
        <v>17</v>
      </c>
      <c r="Q45" s="5"/>
    </row>
    <row r="46" ht="12.0" customHeight="1">
      <c r="A46" s="5"/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</row>
    <row r="47" ht="12.0" customHeight="1">
      <c r="A47" s="5"/>
      <c r="B47" s="11" t="s">
        <v>18</v>
      </c>
      <c r="C47" s="12">
        <v>0.0</v>
      </c>
      <c r="D47" s="12" t="str">
        <f>D6/'C. Resultado 2024'!D6*100</f>
        <v>13.94</v>
      </c>
      <c r="E47" s="12" t="str">
        <f>E6/'C. Resultado 2024'!E6*100</f>
        <v>12.53</v>
      </c>
      <c r="F47" s="12" t="str">
        <f>F6/'C. Resultado 2024'!F6*100</f>
        <v>4.74</v>
      </c>
      <c r="G47" s="12" t="str">
        <f>G6/'C. Resultado 2024'!G6*100</f>
        <v>19.25</v>
      </c>
      <c r="H47" s="12" t="str">
        <f>H6/'C. Resultado 2024'!H6*100</f>
        <v>14.15</v>
      </c>
      <c r="I47" s="12"/>
      <c r="J47" s="12"/>
      <c r="K47" s="12"/>
      <c r="L47" s="12"/>
      <c r="M47" s="12"/>
      <c r="N47" s="12"/>
      <c r="O47" s="12"/>
      <c r="P47" s="12" t="str">
        <f>(D47+E47+F47+G47+H47+I47+J47+K47+L47+M47+N47+O47)/5</f>
        <v>12.92</v>
      </c>
      <c r="Q47" s="5"/>
    </row>
    <row r="48" ht="12.0" customHeight="1">
      <c r="A48" s="5"/>
      <c r="B48" s="13" t="s">
        <v>19</v>
      </c>
      <c r="C48" s="14">
        <v>0.0</v>
      </c>
      <c r="D48" s="14">
        <v>207249.37</v>
      </c>
      <c r="E48" s="14">
        <v>240707.93</v>
      </c>
      <c r="F48" s="14">
        <v>268235.09</v>
      </c>
      <c r="G48" s="14">
        <v>370853.17</v>
      </c>
      <c r="H48" s="14">
        <v>350737.96</v>
      </c>
      <c r="I48" s="14">
        <v>337570.53</v>
      </c>
      <c r="J48" s="14">
        <v>458502.11</v>
      </c>
      <c r="K48" s="14">
        <v>513025.97</v>
      </c>
      <c r="L48" s="14">
        <v>294985.1</v>
      </c>
      <c r="M48" s="14">
        <v>375675.93</v>
      </c>
      <c r="N48" s="14">
        <v>233035.7</v>
      </c>
      <c r="O48" s="14">
        <v>293557.36</v>
      </c>
      <c r="P48" s="14">
        <v>3944136.22</v>
      </c>
      <c r="Q48" s="5"/>
    </row>
    <row r="49" ht="12.0" customHeight="1">
      <c r="A49" s="5"/>
      <c r="B49" s="11" t="s">
        <v>20</v>
      </c>
      <c r="C49" s="12">
        <v>0.0</v>
      </c>
      <c r="D49" s="12">
        <v>-115095.11</v>
      </c>
      <c r="E49" s="12">
        <v>-179494.72</v>
      </c>
      <c r="F49" s="12">
        <v>-252151.52</v>
      </c>
      <c r="G49" s="12">
        <v>-271281.64</v>
      </c>
      <c r="H49" s="12">
        <v>-251635.33</v>
      </c>
      <c r="I49" s="12">
        <v>-268086.57</v>
      </c>
      <c r="J49" s="12">
        <v>-393758.94</v>
      </c>
      <c r="K49" s="12">
        <v>-327500.69</v>
      </c>
      <c r="L49" s="12">
        <v>-247662.09</v>
      </c>
      <c r="M49" s="12">
        <v>-322565.56</v>
      </c>
      <c r="N49" s="12">
        <v>-222541.54</v>
      </c>
      <c r="O49" s="12">
        <v>-363753.19</v>
      </c>
      <c r="P49" s="12">
        <v>-3215526.9</v>
      </c>
      <c r="Q49" s="5"/>
    </row>
    <row r="50" ht="12.0" customHeight="1">
      <c r="A50" s="5"/>
      <c r="B50" s="13" t="s">
        <v>21</v>
      </c>
      <c r="C50" s="14">
        <v>0.0</v>
      </c>
      <c r="D50" s="14">
        <v>-168504.7</v>
      </c>
      <c r="E50" s="14">
        <v>-218465.36</v>
      </c>
      <c r="F50" s="14">
        <v>-234765.57</v>
      </c>
      <c r="G50" s="14">
        <v>-266066.33</v>
      </c>
      <c r="H50" s="14">
        <v>-262580.39</v>
      </c>
      <c r="I50" s="14">
        <v>-237918.21</v>
      </c>
      <c r="J50" s="14">
        <v>-463623.55</v>
      </c>
      <c r="K50" s="14">
        <v>-346852.22</v>
      </c>
      <c r="L50" s="14">
        <v>-221335.09</v>
      </c>
      <c r="M50" s="14">
        <v>-312936.6</v>
      </c>
      <c r="N50" s="14">
        <v>-206623.78</v>
      </c>
      <c r="O50" s="14">
        <v>-223612.21</v>
      </c>
      <c r="P50" s="14">
        <v>-3163284.01</v>
      </c>
      <c r="Q50" s="5"/>
    </row>
    <row r="51" ht="12.0" customHeight="1">
      <c r="A51" s="5"/>
      <c r="B51" s="13" t="s">
        <v>50</v>
      </c>
      <c r="C51" s="14">
        <v>0.0</v>
      </c>
      <c r="D51" s="14">
        <v>-1590.41</v>
      </c>
      <c r="E51" s="14">
        <v>-1029.36</v>
      </c>
      <c r="F51" s="14">
        <v>-385.95</v>
      </c>
      <c r="G51" s="14">
        <v>-1215.31</v>
      </c>
      <c r="H51" s="14">
        <v>-54.94</v>
      </c>
      <c r="I51" s="14">
        <v>-168.36</v>
      </c>
      <c r="J51" s="14">
        <v>-135.39</v>
      </c>
      <c r="K51" s="14">
        <v>-648.47</v>
      </c>
      <c r="L51" s="14">
        <v>-327.0</v>
      </c>
      <c r="M51" s="14">
        <v>-628.96</v>
      </c>
      <c r="N51" s="14">
        <v>-917.76</v>
      </c>
      <c r="O51" s="14">
        <v>-140.98</v>
      </c>
      <c r="P51" s="14">
        <v>-7242.89</v>
      </c>
      <c r="Q51" s="5"/>
    </row>
    <row r="52" ht="12.0" customHeight="1">
      <c r="A52" s="5"/>
      <c r="B52" s="13" t="s">
        <v>22</v>
      </c>
      <c r="C52" s="14">
        <v>0.0</v>
      </c>
      <c r="D52" s="14">
        <v>55000.0</v>
      </c>
      <c r="E52" s="14">
        <v>40000.0</v>
      </c>
      <c r="F52" s="14">
        <v>-17000.0</v>
      </c>
      <c r="G52" s="14">
        <v>-4000.0</v>
      </c>
      <c r="H52" s="14">
        <v>11000.0</v>
      </c>
      <c r="I52" s="14">
        <v>-30000.0</v>
      </c>
      <c r="J52" s="14">
        <v>70000.0</v>
      </c>
      <c r="K52" s="14">
        <v>20000.0</v>
      </c>
      <c r="L52" s="14">
        <v>-26000.0</v>
      </c>
      <c r="M52" s="14">
        <v>-9000.0</v>
      </c>
      <c r="N52" s="14">
        <v>-15000.0</v>
      </c>
      <c r="O52" s="14">
        <v>-140000.0</v>
      </c>
      <c r="P52" s="14">
        <v>-45000.0</v>
      </c>
      <c r="Q52" s="5"/>
    </row>
    <row r="53" ht="12.0" customHeight="1">
      <c r="A53" s="5"/>
      <c r="B53" s="11" t="s">
        <v>23</v>
      </c>
      <c r="C53" s="12">
        <v>0.0</v>
      </c>
      <c r="D53" s="12">
        <v>-20725.13</v>
      </c>
      <c r="E53" s="12">
        <v>-21472.61</v>
      </c>
      <c r="F53" s="12">
        <v>-21719.09</v>
      </c>
      <c r="G53" s="12">
        <v>-23695.43</v>
      </c>
      <c r="H53" s="12">
        <v>-25324.26</v>
      </c>
      <c r="I53" s="12">
        <v>-24818.24</v>
      </c>
      <c r="J53" s="12">
        <v>-24830.93</v>
      </c>
      <c r="K53" s="12">
        <v>-25782.23</v>
      </c>
      <c r="L53" s="12">
        <v>-25983.03</v>
      </c>
      <c r="M53" s="12">
        <v>-27892.75</v>
      </c>
      <c r="N53" s="12">
        <v>-26239.81</v>
      </c>
      <c r="O53" s="12">
        <v>-27086.17</v>
      </c>
      <c r="P53" s="12">
        <v>-295569.68</v>
      </c>
      <c r="Q53" s="5"/>
    </row>
    <row r="54" ht="12.0" customHeight="1">
      <c r="A54" s="5"/>
      <c r="B54" s="13" t="s">
        <v>24</v>
      </c>
      <c r="C54" s="14">
        <v>0.0</v>
      </c>
      <c r="D54" s="14">
        <v>-16781.39</v>
      </c>
      <c r="E54" s="14">
        <v>-17489.83</v>
      </c>
      <c r="F54" s="14">
        <v>-17264.92</v>
      </c>
      <c r="G54" s="14">
        <v>-18806.5</v>
      </c>
      <c r="H54" s="14">
        <v>-20329.72</v>
      </c>
      <c r="I54" s="14">
        <v>-20179.63</v>
      </c>
      <c r="J54" s="14">
        <v>-20491.93</v>
      </c>
      <c r="K54" s="14">
        <v>-21212.32</v>
      </c>
      <c r="L54" s="14">
        <v>-21459.48</v>
      </c>
      <c r="M54" s="14">
        <v>-21630.94</v>
      </c>
      <c r="N54" s="14">
        <v>-21043.14</v>
      </c>
      <c r="O54" s="14">
        <v>-21661.72</v>
      </c>
      <c r="P54" s="14">
        <v>-238351.52</v>
      </c>
      <c r="Q54" s="5"/>
    </row>
    <row r="55" ht="12.0" customHeight="1">
      <c r="A55" s="5"/>
      <c r="B55" s="13" t="s">
        <v>51</v>
      </c>
      <c r="C55" s="14">
        <v>0.0</v>
      </c>
      <c r="D55" s="14">
        <v>0.0</v>
      </c>
      <c r="E55" s="14">
        <v>0.0</v>
      </c>
      <c r="F55" s="14">
        <v>0.0</v>
      </c>
      <c r="G55" s="14">
        <v>0.0</v>
      </c>
      <c r="H55" s="14">
        <v>0.0</v>
      </c>
      <c r="I55" s="14">
        <v>0.0</v>
      </c>
      <c r="J55" s="14">
        <v>0.0</v>
      </c>
      <c r="K55" s="14">
        <v>0.0</v>
      </c>
      <c r="L55" s="14">
        <v>0.0</v>
      </c>
      <c r="M55" s="14">
        <v>-915.18</v>
      </c>
      <c r="N55" s="14">
        <v>0.0</v>
      </c>
      <c r="O55" s="14">
        <v>0.0</v>
      </c>
      <c r="P55" s="14">
        <v>-915.18</v>
      </c>
      <c r="Q55" s="5"/>
    </row>
    <row r="56" ht="12.0" customHeight="1">
      <c r="A56" s="5"/>
      <c r="B56" s="13" t="s">
        <v>25</v>
      </c>
      <c r="C56" s="14">
        <v>0.0</v>
      </c>
      <c r="D56" s="14">
        <v>-3943.74</v>
      </c>
      <c r="E56" s="14">
        <v>-3982.78</v>
      </c>
      <c r="F56" s="14">
        <v>-4454.17</v>
      </c>
      <c r="G56" s="14">
        <v>-4888.93</v>
      </c>
      <c r="H56" s="14">
        <v>-4994.54</v>
      </c>
      <c r="I56" s="14">
        <v>-4638.61</v>
      </c>
      <c r="J56" s="14">
        <v>-4339.0</v>
      </c>
      <c r="K56" s="14">
        <v>-4569.91</v>
      </c>
      <c r="L56" s="14">
        <v>-4523.55</v>
      </c>
      <c r="M56" s="14">
        <v>-5346.63</v>
      </c>
      <c r="N56" s="14">
        <v>-5196.67</v>
      </c>
      <c r="O56" s="14">
        <v>-5424.45</v>
      </c>
      <c r="P56" s="14">
        <v>-56302.98</v>
      </c>
      <c r="Q56" s="5"/>
    </row>
    <row r="57" ht="12.0" customHeight="1">
      <c r="A57" s="5"/>
      <c r="B57" s="11" t="s">
        <v>27</v>
      </c>
      <c r="C57" s="12">
        <v>0.0</v>
      </c>
      <c r="D57" s="12">
        <v>-20037.43</v>
      </c>
      <c r="E57" s="12">
        <v>-13245.75</v>
      </c>
      <c r="F57" s="12">
        <v>-17371.4</v>
      </c>
      <c r="G57" s="12">
        <v>-17775.15</v>
      </c>
      <c r="H57" s="12">
        <v>-17996.37</v>
      </c>
      <c r="I57" s="12">
        <v>-14925.92</v>
      </c>
      <c r="J57" s="12">
        <v>-27395.05</v>
      </c>
      <c r="K57" s="12">
        <v>-17588.89</v>
      </c>
      <c r="L57" s="12">
        <v>-15606.73</v>
      </c>
      <c r="M57" s="12">
        <v>-29568.96</v>
      </c>
      <c r="N57" s="12">
        <v>-15467.15</v>
      </c>
      <c r="O57" s="12">
        <v>-28994.66</v>
      </c>
      <c r="P57" s="12">
        <v>-235973.46</v>
      </c>
      <c r="Q57" s="5"/>
    </row>
    <row r="58" ht="12.0" customHeight="1">
      <c r="A58" s="5"/>
      <c r="B58" s="13" t="s">
        <v>28</v>
      </c>
      <c r="C58" s="14">
        <v>0.0</v>
      </c>
      <c r="D58" s="14">
        <v>-3310.1</v>
      </c>
      <c r="E58" s="14">
        <v>-3310.1</v>
      </c>
      <c r="F58" s="14">
        <v>-3310.1</v>
      </c>
      <c r="G58" s="14">
        <v>-2728.42</v>
      </c>
      <c r="H58" s="14">
        <v>-4013.35</v>
      </c>
      <c r="I58" s="14">
        <v>-3330.0</v>
      </c>
      <c r="J58" s="14">
        <v>-3330.0</v>
      </c>
      <c r="K58" s="14">
        <v>-3330.0</v>
      </c>
      <c r="L58" s="14">
        <v>-3330.0</v>
      </c>
      <c r="M58" s="14">
        <v>-3330.0</v>
      </c>
      <c r="N58" s="14">
        <v>-3330.0</v>
      </c>
      <c r="O58" s="14">
        <v>-3330.0</v>
      </c>
      <c r="P58" s="14">
        <v>-39982.07</v>
      </c>
      <c r="Q58" s="5"/>
    </row>
    <row r="59" ht="12.0" customHeight="1">
      <c r="A59" s="5"/>
      <c r="B59" s="13" t="s">
        <v>29</v>
      </c>
      <c r="C59" s="14">
        <v>0.0</v>
      </c>
      <c r="D59" s="14">
        <v>-6135.98</v>
      </c>
      <c r="E59" s="14">
        <v>-1078.57</v>
      </c>
      <c r="F59" s="14">
        <v>-3285.57</v>
      </c>
      <c r="G59" s="14">
        <v>-2012.37</v>
      </c>
      <c r="H59" s="14">
        <v>-1780.22</v>
      </c>
      <c r="I59" s="14">
        <v>-5209.1</v>
      </c>
      <c r="J59" s="14">
        <v>-6790.77</v>
      </c>
      <c r="K59" s="14">
        <v>-871.0</v>
      </c>
      <c r="L59" s="14">
        <v>-1991.99</v>
      </c>
      <c r="M59" s="14">
        <v>-3530.12</v>
      </c>
      <c r="N59" s="14">
        <v>-2435.98</v>
      </c>
      <c r="O59" s="14">
        <v>-12262.7</v>
      </c>
      <c r="P59" s="14">
        <v>-47384.37</v>
      </c>
      <c r="Q59" s="5"/>
    </row>
    <row r="60" ht="12.0" customHeight="1">
      <c r="A60" s="5"/>
      <c r="B60" s="13" t="s">
        <v>30</v>
      </c>
      <c r="C60" s="14">
        <v>0.0</v>
      </c>
      <c r="D60" s="14">
        <v>-1010.0</v>
      </c>
      <c r="E60" s="14">
        <v>-1110.0</v>
      </c>
      <c r="F60" s="14">
        <v>-1096.06</v>
      </c>
      <c r="G60" s="14">
        <v>-1056.0</v>
      </c>
      <c r="H60" s="14">
        <v>-1113.66</v>
      </c>
      <c r="I60" s="14">
        <v>-930.0</v>
      </c>
      <c r="J60" s="14">
        <v>-940.0</v>
      </c>
      <c r="K60" s="14">
        <v>-1216.71</v>
      </c>
      <c r="L60" s="14">
        <v>-990.0</v>
      </c>
      <c r="M60" s="14">
        <v>-990.0</v>
      </c>
      <c r="N60" s="14">
        <v>-990.0</v>
      </c>
      <c r="O60" s="14">
        <v>-1252.03</v>
      </c>
      <c r="P60" s="14">
        <v>-12694.46</v>
      </c>
      <c r="Q60" s="5"/>
    </row>
    <row r="61" ht="12.0" customHeight="1">
      <c r="A61" s="5"/>
      <c r="B61" s="13" t="s">
        <v>31</v>
      </c>
      <c r="C61" s="14">
        <v>0.0</v>
      </c>
      <c r="D61" s="14">
        <v>-1538.97</v>
      </c>
      <c r="E61" s="14">
        <v>-1667.8</v>
      </c>
      <c r="F61" s="14">
        <v>-1221.03</v>
      </c>
      <c r="G61" s="14">
        <v>-37.6</v>
      </c>
      <c r="H61" s="14">
        <v>-1458.41</v>
      </c>
      <c r="I61" s="14">
        <v>0.0</v>
      </c>
      <c r="J61" s="14">
        <v>-3274.88</v>
      </c>
      <c r="K61" s="14">
        <v>-1341.56</v>
      </c>
      <c r="L61" s="14">
        <v>-1579.24</v>
      </c>
      <c r="M61" s="14">
        <v>-2728.17</v>
      </c>
      <c r="N61" s="14">
        <v>-975.08</v>
      </c>
      <c r="O61" s="14">
        <v>-1610.34</v>
      </c>
      <c r="P61" s="14">
        <v>-17433.08</v>
      </c>
      <c r="Q61" s="5"/>
    </row>
    <row r="62" ht="12.0" customHeight="1">
      <c r="A62" s="5"/>
      <c r="B62" s="13" t="s">
        <v>32</v>
      </c>
      <c r="C62" s="14">
        <v>0.0</v>
      </c>
      <c r="D62" s="14">
        <v>-1623.53</v>
      </c>
      <c r="E62" s="14">
        <v>-77.27</v>
      </c>
      <c r="F62" s="14">
        <v>-987.1</v>
      </c>
      <c r="G62" s="14">
        <v>-3264.82</v>
      </c>
      <c r="H62" s="14">
        <v>-54.02</v>
      </c>
      <c r="I62" s="14">
        <v>-54.02</v>
      </c>
      <c r="J62" s="14">
        <v>-1630.79</v>
      </c>
      <c r="K62" s="14">
        <v>-54.02</v>
      </c>
      <c r="L62" s="14">
        <v>-407.99</v>
      </c>
      <c r="M62" s="14">
        <v>-2867.16</v>
      </c>
      <c r="N62" s="14">
        <v>-54.02</v>
      </c>
      <c r="O62" s="14">
        <v>-1334.4</v>
      </c>
      <c r="P62" s="14">
        <v>-12409.14</v>
      </c>
      <c r="Q62" s="5"/>
    </row>
    <row r="63" ht="12.0" customHeight="1">
      <c r="A63" s="5"/>
      <c r="B63" s="13" t="s">
        <v>33</v>
      </c>
      <c r="C63" s="14">
        <v>0.0</v>
      </c>
      <c r="D63" s="14">
        <v>-739.74</v>
      </c>
      <c r="E63" s="14">
        <v>-567.97</v>
      </c>
      <c r="F63" s="14">
        <v>-1156.19</v>
      </c>
      <c r="G63" s="14">
        <v>-288.14</v>
      </c>
      <c r="H63" s="14">
        <v>-539.04</v>
      </c>
      <c r="I63" s="14">
        <v>-227.63</v>
      </c>
      <c r="J63" s="14">
        <v>-331.43</v>
      </c>
      <c r="K63" s="14">
        <v>-364.06</v>
      </c>
      <c r="L63" s="14">
        <v>-174.54</v>
      </c>
      <c r="M63" s="14">
        <v>-1438.67</v>
      </c>
      <c r="N63" s="14">
        <v>-234.07</v>
      </c>
      <c r="O63" s="14">
        <v>-1183.43</v>
      </c>
      <c r="P63" s="14">
        <v>-7244.91</v>
      </c>
      <c r="Q63" s="5"/>
    </row>
    <row r="64" ht="12.0" customHeight="1">
      <c r="A64" s="5"/>
      <c r="B64" s="13" t="s">
        <v>34</v>
      </c>
      <c r="C64" s="14">
        <v>0.0</v>
      </c>
      <c r="D64" s="14">
        <v>-195.0</v>
      </c>
      <c r="E64" s="14">
        <v>-282.0</v>
      </c>
      <c r="F64" s="14">
        <v>-773.8</v>
      </c>
      <c r="G64" s="14">
        <v>-195.0</v>
      </c>
      <c r="H64" s="14">
        <v>-1816.2</v>
      </c>
      <c r="I64" s="14">
        <v>-620.0</v>
      </c>
      <c r="J64" s="14">
        <v>-1019.0</v>
      </c>
      <c r="K64" s="14">
        <v>-332.0</v>
      </c>
      <c r="L64" s="14">
        <v>-195.0</v>
      </c>
      <c r="M64" s="14">
        <v>-195.0</v>
      </c>
      <c r="N64" s="14">
        <v>-765.88</v>
      </c>
      <c r="O64" s="14">
        <v>-195.0</v>
      </c>
      <c r="P64" s="14">
        <v>-6583.88</v>
      </c>
      <c r="Q64" s="5"/>
    </row>
    <row r="65" ht="12.0" customHeight="1">
      <c r="A65" s="5"/>
      <c r="B65" s="13" t="s">
        <v>35</v>
      </c>
      <c r="C65" s="14">
        <v>0.0</v>
      </c>
      <c r="D65" s="14">
        <v>-3818.19</v>
      </c>
      <c r="E65" s="14">
        <v>-4376.93</v>
      </c>
      <c r="F65" s="14">
        <v>-3001.24</v>
      </c>
      <c r="G65" s="14">
        <v>-5975.12</v>
      </c>
      <c r="H65" s="14">
        <v>-3907.97</v>
      </c>
      <c r="I65" s="14">
        <v>-1602.79</v>
      </c>
      <c r="J65" s="14">
        <v>-6514.35</v>
      </c>
      <c r="K65" s="14">
        <v>-6264.8</v>
      </c>
      <c r="L65" s="14">
        <v>-5219.63</v>
      </c>
      <c r="M65" s="14">
        <v>-8965.26</v>
      </c>
      <c r="N65" s="14">
        <v>-4690.67</v>
      </c>
      <c r="O65" s="14">
        <v>-5075.62</v>
      </c>
      <c r="P65" s="14">
        <v>-59412.57</v>
      </c>
      <c r="Q65" s="5"/>
    </row>
    <row r="66" ht="12.0" customHeight="1">
      <c r="A66" s="5"/>
      <c r="B66" s="13" t="s">
        <v>36</v>
      </c>
      <c r="C66" s="14">
        <v>0.0</v>
      </c>
      <c r="D66" s="14">
        <v>-1665.92</v>
      </c>
      <c r="E66" s="14">
        <v>-775.11</v>
      </c>
      <c r="F66" s="14">
        <v>-2540.31</v>
      </c>
      <c r="G66" s="14">
        <v>-2217.68</v>
      </c>
      <c r="H66" s="14">
        <v>-2934.81</v>
      </c>
      <c r="I66" s="14">
        <v>-2323.14</v>
      </c>
      <c r="J66" s="14">
        <v>-3144.29</v>
      </c>
      <c r="K66" s="14">
        <v>-3395.2</v>
      </c>
      <c r="L66" s="14">
        <v>-1298.8</v>
      </c>
      <c r="M66" s="14">
        <v>-3767.57</v>
      </c>
      <c r="N66" s="14">
        <v>-1571.91</v>
      </c>
      <c r="O66" s="14">
        <v>-2331.6</v>
      </c>
      <c r="P66" s="14">
        <v>-27966.34</v>
      </c>
      <c r="Q66" s="5"/>
    </row>
    <row r="67" ht="12.0" customHeight="1">
      <c r="A67" s="5"/>
      <c r="B67" s="13" t="s">
        <v>37</v>
      </c>
      <c r="C67" s="14">
        <v>0.0</v>
      </c>
      <c r="D67" s="14">
        <v>0.0</v>
      </c>
      <c r="E67" s="14">
        <v>0.0</v>
      </c>
      <c r="F67" s="14">
        <v>0.0</v>
      </c>
      <c r="G67" s="14">
        <v>0.0</v>
      </c>
      <c r="H67" s="14">
        <v>-378.69</v>
      </c>
      <c r="I67" s="14">
        <v>-629.24</v>
      </c>
      <c r="J67" s="14">
        <v>-419.54</v>
      </c>
      <c r="K67" s="14">
        <v>-419.54</v>
      </c>
      <c r="L67" s="14">
        <v>-419.54</v>
      </c>
      <c r="M67" s="14">
        <v>-1757.01</v>
      </c>
      <c r="N67" s="14">
        <v>-419.54</v>
      </c>
      <c r="O67" s="14">
        <v>-419.54</v>
      </c>
      <c r="P67" s="14">
        <v>-4862.64</v>
      </c>
      <c r="Q67" s="5"/>
    </row>
    <row r="68" ht="12.0" customHeight="1">
      <c r="A68" s="5"/>
      <c r="B68" s="11" t="s">
        <v>38</v>
      </c>
      <c r="C68" s="12">
        <v>0.0</v>
      </c>
      <c r="D68" s="12">
        <v>-1797.47</v>
      </c>
      <c r="E68" s="12">
        <v>-1743.86</v>
      </c>
      <c r="F68" s="12">
        <v>-1979.28</v>
      </c>
      <c r="G68" s="12">
        <v>-2144.8</v>
      </c>
      <c r="H68" s="12">
        <v>-2257.17</v>
      </c>
      <c r="I68" s="12">
        <v>-2584.41</v>
      </c>
      <c r="J68" s="12">
        <v>-2687.29</v>
      </c>
      <c r="K68" s="12">
        <v>-2687.26</v>
      </c>
      <c r="L68" s="12">
        <v>-2600.57</v>
      </c>
      <c r="M68" s="12">
        <v>-2749.65</v>
      </c>
      <c r="N68" s="12">
        <v>-2660.88</v>
      </c>
      <c r="O68" s="12">
        <v>-2733.28</v>
      </c>
      <c r="P68" s="12">
        <v>-28625.92</v>
      </c>
      <c r="Q68" s="5"/>
    </row>
    <row r="69" ht="12.0" customHeight="1">
      <c r="A69" s="5"/>
      <c r="B69" s="13" t="s">
        <v>39</v>
      </c>
      <c r="C69" s="14">
        <v>0.0</v>
      </c>
      <c r="D69" s="14">
        <v>-335.11</v>
      </c>
      <c r="E69" s="14">
        <v>-323.94</v>
      </c>
      <c r="F69" s="14">
        <v>-346.28</v>
      </c>
      <c r="G69" s="14">
        <v>-416.15</v>
      </c>
      <c r="H69" s="14">
        <v>-432.92</v>
      </c>
      <c r="I69" s="14">
        <v>-424.23</v>
      </c>
      <c r="J69" s="14">
        <v>-449.28</v>
      </c>
      <c r="K69" s="14">
        <v>-449.27</v>
      </c>
      <c r="L69" s="14">
        <v>-434.78</v>
      </c>
      <c r="M69" s="14">
        <v>-449.28</v>
      </c>
      <c r="N69" s="14">
        <v>-434.78</v>
      </c>
      <c r="O69" s="14">
        <v>-432.92</v>
      </c>
      <c r="P69" s="14">
        <v>-4928.94</v>
      </c>
      <c r="Q69" s="5"/>
    </row>
    <row r="70" ht="12.0" customHeight="1">
      <c r="A70" s="5"/>
      <c r="B70" s="13" t="s">
        <v>40</v>
      </c>
      <c r="C70" s="14">
        <v>0.0</v>
      </c>
      <c r="D70" s="14">
        <v>-1462.36</v>
      </c>
      <c r="E70" s="14">
        <v>-1419.92</v>
      </c>
      <c r="F70" s="14">
        <v>-1633.0</v>
      </c>
      <c r="G70" s="14">
        <v>-1728.65</v>
      </c>
      <c r="H70" s="14">
        <v>-1824.25</v>
      </c>
      <c r="I70" s="14">
        <v>-2160.18</v>
      </c>
      <c r="J70" s="14">
        <v>-2238.01</v>
      </c>
      <c r="K70" s="14">
        <v>-2237.99</v>
      </c>
      <c r="L70" s="14">
        <v>-2165.79</v>
      </c>
      <c r="M70" s="14">
        <v>-2300.37</v>
      </c>
      <c r="N70" s="14">
        <v>-2226.1</v>
      </c>
      <c r="O70" s="14">
        <v>-2300.36</v>
      </c>
      <c r="P70" s="14">
        <v>-23696.98</v>
      </c>
      <c r="Q70" s="5"/>
    </row>
    <row r="71" ht="12.0" customHeight="1">
      <c r="A71" s="5"/>
      <c r="B71" s="11" t="s">
        <v>41</v>
      </c>
      <c r="C71" s="12">
        <v>0.0</v>
      </c>
      <c r="D71" s="12">
        <v>1.96</v>
      </c>
      <c r="E71" s="12">
        <v>0.11</v>
      </c>
      <c r="F71" s="12">
        <v>1.26</v>
      </c>
      <c r="G71" s="12">
        <v>33.43</v>
      </c>
      <c r="H71" s="12">
        <v>-10523.6</v>
      </c>
      <c r="I71" s="12">
        <v>675.98</v>
      </c>
      <c r="J71" s="12">
        <v>0.22</v>
      </c>
      <c r="K71" s="12">
        <v>3.35</v>
      </c>
      <c r="L71" s="12">
        <v>0.1</v>
      </c>
      <c r="M71" s="12">
        <v>0.69</v>
      </c>
      <c r="N71" s="12">
        <v>13.46</v>
      </c>
      <c r="O71" s="12">
        <v>0.32</v>
      </c>
      <c r="P71" s="12">
        <v>-9792.72</v>
      </c>
      <c r="Q71" s="5"/>
    </row>
    <row r="72" ht="12.0" customHeight="1">
      <c r="A72" s="5"/>
      <c r="B72" s="13" t="s">
        <v>52</v>
      </c>
      <c r="C72" s="14">
        <v>0.0</v>
      </c>
      <c r="D72" s="14">
        <v>0.0</v>
      </c>
      <c r="E72" s="14">
        <v>0.0</v>
      </c>
      <c r="F72" s="14">
        <v>0.0</v>
      </c>
      <c r="G72" s="14">
        <v>0.0</v>
      </c>
      <c r="H72" s="14">
        <v>-10523.69</v>
      </c>
      <c r="I72" s="14">
        <v>668.65</v>
      </c>
      <c r="J72" s="14">
        <v>0.0</v>
      </c>
      <c r="K72" s="14">
        <v>0.0</v>
      </c>
      <c r="L72" s="14">
        <v>0.0</v>
      </c>
      <c r="M72" s="14">
        <v>0.0</v>
      </c>
      <c r="N72" s="14">
        <v>0.0</v>
      </c>
      <c r="O72" s="14">
        <v>0.0</v>
      </c>
      <c r="P72" s="14">
        <v>-9855.04</v>
      </c>
      <c r="Q72" s="5"/>
    </row>
    <row r="73" ht="12.0" customHeight="1">
      <c r="A73" s="5"/>
      <c r="B73" s="13" t="s">
        <v>42</v>
      </c>
      <c r="C73" s="14">
        <v>0.0</v>
      </c>
      <c r="D73" s="14">
        <v>1.96</v>
      </c>
      <c r="E73" s="14">
        <v>0.11</v>
      </c>
      <c r="F73" s="14">
        <v>1.26</v>
      </c>
      <c r="G73" s="14">
        <v>33.43</v>
      </c>
      <c r="H73" s="14">
        <v>0.09</v>
      </c>
      <c r="I73" s="14">
        <v>7.33</v>
      </c>
      <c r="J73" s="14">
        <v>0.22</v>
      </c>
      <c r="K73" s="14">
        <v>3.35</v>
      </c>
      <c r="L73" s="14">
        <v>0.1</v>
      </c>
      <c r="M73" s="14">
        <v>0.69</v>
      </c>
      <c r="N73" s="14">
        <v>13.46</v>
      </c>
      <c r="O73" s="14">
        <v>0.32</v>
      </c>
      <c r="P73" s="14">
        <v>62.32</v>
      </c>
      <c r="Q73" s="5"/>
    </row>
    <row r="74" ht="12.0" customHeight="1">
      <c r="A74" s="5"/>
      <c r="B74" s="6" t="s">
        <v>43</v>
      </c>
      <c r="C74" s="15">
        <v>0.0</v>
      </c>
      <c r="D74" s="15">
        <v>49596.19</v>
      </c>
      <c r="E74" s="15">
        <v>24751.1</v>
      </c>
      <c r="F74" s="15">
        <v>-24984.94</v>
      </c>
      <c r="G74" s="15">
        <v>55989.58</v>
      </c>
      <c r="H74" s="15">
        <v>43001.23</v>
      </c>
      <c r="I74" s="15">
        <v>27831.37</v>
      </c>
      <c r="J74" s="15">
        <v>9830.12</v>
      </c>
      <c r="K74" s="15">
        <v>139470.25</v>
      </c>
      <c r="L74" s="15">
        <v>3132.78</v>
      </c>
      <c r="M74" s="15">
        <v>-7100.3</v>
      </c>
      <c r="N74" s="15">
        <v>-33860.22</v>
      </c>
      <c r="O74" s="15">
        <v>-129009.62</v>
      </c>
      <c r="P74" s="15">
        <v>158647.54</v>
      </c>
      <c r="Q74" s="5"/>
    </row>
    <row r="75" ht="12.0" customHeight="1">
      <c r="A75" s="5"/>
      <c r="B75" s="11" t="s">
        <v>44</v>
      </c>
      <c r="C75" s="12">
        <v>0.0</v>
      </c>
      <c r="D75" s="12">
        <v>-2420.65</v>
      </c>
      <c r="E75" s="12">
        <v>-1100.38</v>
      </c>
      <c r="F75" s="12">
        <v>-1199.16</v>
      </c>
      <c r="G75" s="12">
        <v>-2843.62</v>
      </c>
      <c r="H75" s="12">
        <v>-1372.0</v>
      </c>
      <c r="I75" s="12">
        <v>-2660.13</v>
      </c>
      <c r="J75" s="12">
        <v>-1882.12</v>
      </c>
      <c r="K75" s="12">
        <v>-1494.26</v>
      </c>
      <c r="L75" s="12">
        <v>-1283.52</v>
      </c>
      <c r="M75" s="12">
        <v>-2964.11</v>
      </c>
      <c r="N75" s="12">
        <v>-1255.48</v>
      </c>
      <c r="O75" s="12">
        <v>-1296.95</v>
      </c>
      <c r="P75" s="12">
        <v>-21772.38</v>
      </c>
      <c r="Q75" s="5"/>
    </row>
    <row r="76" ht="12.0" customHeight="1">
      <c r="A76" s="5"/>
      <c r="B76" s="13" t="s">
        <v>46</v>
      </c>
      <c r="C76" s="14">
        <v>0.0</v>
      </c>
      <c r="D76" s="14">
        <v>-2420.65</v>
      </c>
      <c r="E76" s="14">
        <v>-1100.38</v>
      </c>
      <c r="F76" s="14">
        <v>-1199.16</v>
      </c>
      <c r="G76" s="14">
        <v>-2843.62</v>
      </c>
      <c r="H76" s="14">
        <v>-1372.0</v>
      </c>
      <c r="I76" s="14">
        <v>-2660.13</v>
      </c>
      <c r="J76" s="14">
        <v>-1882.12</v>
      </c>
      <c r="K76" s="14">
        <v>-1494.26</v>
      </c>
      <c r="L76" s="14">
        <v>-1283.52</v>
      </c>
      <c r="M76" s="14">
        <v>-2964.11</v>
      </c>
      <c r="N76" s="14">
        <v>-1255.48</v>
      </c>
      <c r="O76" s="14">
        <v>-1296.95</v>
      </c>
      <c r="P76" s="14">
        <v>-21772.38</v>
      </c>
      <c r="Q76" s="5"/>
    </row>
    <row r="77" ht="12.0" customHeight="1">
      <c r="A77" s="5"/>
      <c r="B77" s="6" t="s">
        <v>47</v>
      </c>
      <c r="C77" s="15">
        <v>0.0</v>
      </c>
      <c r="D77" s="15">
        <v>-2420.65</v>
      </c>
      <c r="E77" s="15">
        <v>-1100.38</v>
      </c>
      <c r="F77" s="15">
        <v>-1199.16</v>
      </c>
      <c r="G77" s="15">
        <v>-2843.62</v>
      </c>
      <c r="H77" s="15">
        <v>-1372.0</v>
      </c>
      <c r="I77" s="15">
        <v>-2660.13</v>
      </c>
      <c r="J77" s="15">
        <v>-1882.12</v>
      </c>
      <c r="K77" s="15">
        <v>-1494.26</v>
      </c>
      <c r="L77" s="15">
        <v>-1283.52</v>
      </c>
      <c r="M77" s="15">
        <v>-2964.11</v>
      </c>
      <c r="N77" s="15">
        <v>-1255.48</v>
      </c>
      <c r="O77" s="15">
        <v>-1296.95</v>
      </c>
      <c r="P77" s="15">
        <v>-21772.38</v>
      </c>
      <c r="Q77" s="5"/>
    </row>
    <row r="78" ht="12.0" customHeight="1">
      <c r="A78" s="5"/>
      <c r="B78" s="6" t="s">
        <v>48</v>
      </c>
      <c r="C78" s="15">
        <v>0.0</v>
      </c>
      <c r="D78" s="15">
        <v>47175.54</v>
      </c>
      <c r="E78" s="15">
        <v>23650.72</v>
      </c>
      <c r="F78" s="15">
        <v>-26184.1</v>
      </c>
      <c r="G78" s="15">
        <v>53145.96</v>
      </c>
      <c r="H78" s="15">
        <v>41629.23</v>
      </c>
      <c r="I78" s="15">
        <v>25171.24</v>
      </c>
      <c r="J78" s="15">
        <v>7948.0</v>
      </c>
      <c r="K78" s="15">
        <v>137975.99</v>
      </c>
      <c r="L78" s="15">
        <v>1849.26</v>
      </c>
      <c r="M78" s="15">
        <v>-10064.41</v>
      </c>
      <c r="N78" s="15">
        <v>-35115.7</v>
      </c>
      <c r="O78" s="15">
        <v>-130306.57</v>
      </c>
      <c r="P78" s="15">
        <v>136875.16</v>
      </c>
      <c r="Q78" s="5"/>
    </row>
    <row r="79" ht="12.0" customHeight="1">
      <c r="A79" s="5"/>
      <c r="B79" s="11" t="s">
        <v>53</v>
      </c>
      <c r="C79" s="12">
        <v>0.0</v>
      </c>
      <c r="D79" s="12">
        <v>0.0</v>
      </c>
      <c r="E79" s="12">
        <v>0.0</v>
      </c>
      <c r="F79" s="12">
        <v>0.0</v>
      </c>
      <c r="G79" s="12">
        <v>0.0</v>
      </c>
      <c r="H79" s="12">
        <v>0.0</v>
      </c>
      <c r="I79" s="12">
        <v>0.0</v>
      </c>
      <c r="J79" s="12">
        <v>0.0</v>
      </c>
      <c r="K79" s="12">
        <v>0.0</v>
      </c>
      <c r="L79" s="12">
        <v>0.0</v>
      </c>
      <c r="M79" s="12">
        <v>0.0</v>
      </c>
      <c r="N79" s="12">
        <v>0.0</v>
      </c>
      <c r="O79" s="12">
        <v>-34680.79</v>
      </c>
      <c r="P79" s="12">
        <v>-34680.79</v>
      </c>
      <c r="Q79" s="5"/>
    </row>
    <row r="80" ht="12.0" customHeight="1">
      <c r="A80" s="5"/>
      <c r="B80" s="13" t="s">
        <v>54</v>
      </c>
      <c r="C80" s="14">
        <v>0.0</v>
      </c>
      <c r="D80" s="14">
        <v>0.0</v>
      </c>
      <c r="E80" s="14">
        <v>0.0</v>
      </c>
      <c r="F80" s="14">
        <v>0.0</v>
      </c>
      <c r="G80" s="14">
        <v>0.0</v>
      </c>
      <c r="H80" s="14">
        <v>0.0</v>
      </c>
      <c r="I80" s="14">
        <v>0.0</v>
      </c>
      <c r="J80" s="14">
        <v>0.0</v>
      </c>
      <c r="K80" s="14">
        <v>0.0</v>
      </c>
      <c r="L80" s="14">
        <v>0.0</v>
      </c>
      <c r="M80" s="14">
        <v>0.0</v>
      </c>
      <c r="N80" s="14">
        <v>0.0</v>
      </c>
      <c r="O80" s="14">
        <v>-34680.79</v>
      </c>
      <c r="P80" s="14">
        <v>-34680.79</v>
      </c>
      <c r="Q80" s="5"/>
    </row>
    <row r="81" ht="12.0" customHeight="1">
      <c r="A81" s="5"/>
      <c r="B81" s="6" t="s">
        <v>49</v>
      </c>
      <c r="C81" s="15">
        <v>0.0</v>
      </c>
      <c r="D81" s="15">
        <v>47175.54</v>
      </c>
      <c r="E81" s="15">
        <v>23650.72</v>
      </c>
      <c r="F81" s="15">
        <v>-26184.1</v>
      </c>
      <c r="G81" s="15">
        <v>53145.96</v>
      </c>
      <c r="H81" s="15">
        <v>41629.23</v>
      </c>
      <c r="I81" s="15">
        <v>25171.24</v>
      </c>
      <c r="J81" s="15">
        <v>7948.0</v>
      </c>
      <c r="K81" s="15">
        <v>137975.99</v>
      </c>
      <c r="L81" s="15">
        <v>1849.26</v>
      </c>
      <c r="M81" s="15">
        <v>-10064.41</v>
      </c>
      <c r="N81" s="15">
        <v>-35115.7</v>
      </c>
      <c r="O81" s="15">
        <v>-164987.36</v>
      </c>
      <c r="P81" s="15">
        <v>102194.37</v>
      </c>
      <c r="Q81" s="5"/>
    </row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mergeCells count="8">
    <mergeCell ref="A42:Q42"/>
    <mergeCell ref="A43:Q43"/>
    <mergeCell ref="A44:Q44"/>
    <mergeCell ref="B46:Q46"/>
    <mergeCell ref="A1:Q1"/>
    <mergeCell ref="A2:Q2"/>
    <mergeCell ref="A3:Q3"/>
    <mergeCell ref="B5:Q5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6</vt:i4>
      </vt:variant>
    </vt:vector>
  </HeadingPairs>
  <TitlesOfParts>
    <vt:vector baseType="lpstr" size="6">
      <vt:lpstr>C.Resultado</vt:lpstr>
      <vt:lpstr>C. Resultado 2024</vt:lpstr>
      <vt:lpstr>Explotacion comparativa</vt:lpstr>
      <vt:lpstr>Graficos</vt:lpstr>
      <vt:lpstr>Umbral de rentabilidad</vt:lpstr>
      <vt:lpstr>Explotacion compartiva año ant</vt:lpstr>
    </vt:vector>
  </TitlesOfParts>
  <LinksUpToDate>false</LinksUpToDate>
  <SharedDoc>false</SharedDoc>
  <HyperlinksChanged>false</HyperlinksChanged>
  <Application>JasperReports Library version null</Application>
  <AppVersion>11.0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2025-12-02T17:58:02Z</dcterms:modified>
</cp:coreProperties>
</file>